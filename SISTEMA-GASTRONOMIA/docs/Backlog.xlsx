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custom-properties" Target="docProps/custom.xml"/><Relationship Id="R1250b2c7fd7b415a" Type="http://schemas.openxmlformats.org/officeDocument/2006/relationships/officeDocument" Target="/xl/workbook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SUMEN" sheetId="1" r:id="Re54a5553f6114711"/>
    <x:sheet xmlns:r="http://schemas.openxmlformats.org/officeDocument/2006/relationships" name="01_PRODUCT_BACKLOG" sheetId="2" r:id="Re709612de9b14e85"/>
    <x:sheet xmlns:r="http://schemas.openxmlformats.org/officeDocument/2006/relationships" name="02_CRITERIOS_PRUEBAS" sheetId="3" r:id="R1a37deeb02c4424a"/>
    <x:sheet xmlns:r="http://schemas.openxmlformats.org/officeDocument/2006/relationships" name="03_MAPA_PROTOTIPO" sheetId="4" r:id="R128de39a4e9f431f"/>
    <x:sheet xmlns:r="http://schemas.openxmlformats.org/officeDocument/2006/relationships" name="04_SUPUESTOS_DUDAS" sheetId="5" r:id="R866112f92e6745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6">
    <x:font>
      <x:sz val="11"/>
      <x:name val="Carlito"/>
    </x:font>
    <x:font>
      <x:b/>
      <x:sz val="18"/>
      <x:color rgb="FFFFFFFF"/>
      <x:name val="Carlito"/>
    </x:font>
    <x:font>
      <x:i/>
      <x:sz val="10"/>
      <x:color rgb="FFFFFFFF"/>
      <x:name val="Carlito"/>
    </x:font>
    <x:font>
      <x:b/>
      <x:sz val="10"/>
      <x:color rgb="FFFFFFFF"/>
      <x:name val="Carlito"/>
    </x:font>
    <x:font>
      <x:sz val="9"/>
      <x:color rgb="FF263238"/>
      <x:name val="Carlito"/>
    </x:font>
    <x:font>
      <x:b/>
      <x:sz val="11"/>
      <x:color rgb="FFFFFFFF"/>
      <x:name val="Carlito"/>
    </x:font>
    <x:font>
      <x:b/>
      <x:sz val="22"/>
      <x:color rgb="FFBB1E2D"/>
      <x:name val="Carlito"/>
    </x:font>
    <x:font>
      <x:sz val="10"/>
      <x:color rgb="FF263238"/>
      <x:name val="Carlito"/>
    </x:font>
    <x:font>
      <x:b/>
      <x:sz val="18"/>
      <x:color rgb="FFFFFFFF"/>
      <x:name val="Aptos"/>
    </x:font>
    <x:font>
      <x:i/>
      <x:sz val="10"/>
      <x:color rgb="FFFFFFFF"/>
      <x:name val="Aptos"/>
    </x:font>
    <x:font>
      <x:sz val="11"/>
      <x:name val="Aptos"/>
    </x:font>
    <x:font>
      <x:b/>
      <x:sz val="11"/>
      <x:color rgb="FFFFFFFF"/>
      <x:name val="Aptos"/>
    </x:font>
    <x:font>
      <x:b/>
      <x:sz val="22"/>
      <x:color rgb="FFBB1E2D"/>
      <x:name val="Aptos"/>
    </x:font>
    <x:font>
      <x:b/>
      <x:sz val="10"/>
      <x:color rgb="FFFFFFFF"/>
      <x:name val="Aptos"/>
    </x:font>
    <x:font>
      <x:sz val="9"/>
      <x:color rgb="FF263238"/>
      <x:name val="Aptos"/>
    </x:font>
    <x:font>
      <x:sz val="10"/>
      <x:color rgb="FF263238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BB1E2D"/>
      </x:patternFill>
    </x:fill>
    <x:fill>
      <x:patternFill patternType="solid">
        <x:fgColor rgb="FF85131F"/>
      </x:patternFill>
    </x:fill>
    <x:fill>
      <x:patternFill patternType="solid">
        <x:fgColor rgb="FF263238"/>
      </x:patternFill>
    </x:fill>
    <x:fill>
      <x:patternFill patternType="solid">
        <x:fgColor rgb="FFFFFFFF"/>
      </x:patternFill>
    </x:fill>
    <x:fill>
      <x:patternFill patternType="solid">
        <x:fgColor rgb="FFF7F8FA"/>
      </x:patternFill>
    </x:fill>
    <x:fill>
      <x:patternFill patternType="solid">
        <x:fgColor rgb="FFFFF1CC"/>
      </x:patternFill>
    </x:fill>
  </x:fills>
  <x:borders count="15">
    <x:border/>
    <x:border>
      <x:right style="thin">
        <x:color rgb="FF52606B"/>
      </x:right>
    </x:border>
    <x:border>
      <x:left style="thin">
        <x:color rgb="FF52606B"/>
      </x:left>
      <x:right style="thin">
        <x:color rgb="FF52606B"/>
      </x:right>
    </x:border>
    <x:border>
      <x:left style="thin">
        <x:color rgb="FF52606B"/>
      </x:left>
    </x:border>
    <x:border>
      <x:bottom style="thin">
        <x:color rgb="FFDDE2E8"/>
      </x:bottom>
    </x:border>
    <x:border>
      <x:top style="thin">
        <x:color rgb="FFDDE2E8"/>
      </x:top>
      <x:bottom style="thin">
        <x:color rgb="FFDDE2E8"/>
      </x:bottom>
    </x:border>
    <x:border>
      <x:top style="thin">
        <x:color rgb="FFDDE2E8"/>
      </x:top>
    </x:border>
    <x:border>
      <x:right style="thin">
        <x:color rgb="FF52606B"/>
      </x:right>
      <x:bottom style="thin">
        <x:color rgb="FFDDE2E8"/>
      </x:bottom>
    </x:border>
    <x:border>
      <x:left style="thin">
        <x:color rgb="FF52606B"/>
      </x:left>
      <x:right style="thin">
        <x:color rgb="FF52606B"/>
      </x:right>
      <x:bottom style="thin">
        <x:color rgb="FFDDE2E8"/>
      </x:bottom>
    </x:border>
    <x:border>
      <x:right style="thin">
        <x:color rgb="FF52606B"/>
      </x:right>
      <x:top style="thin">
        <x:color rgb="FFDDE2E8"/>
      </x:top>
      <x:bottom style="thin">
        <x:color rgb="FFDDE2E8"/>
      </x:bottom>
    </x:border>
    <x:border>
      <x:right style="thin">
        <x:color rgb="FF52606B"/>
      </x:right>
      <x:top style="thin">
        <x:color rgb="FFDDE2E8"/>
      </x:top>
    </x:border>
    <x:border>
      <x:left style="thin">
        <x:color rgb="FFDDE2E8"/>
      </x:left>
      <x:top style="thin">
        <x:color rgb="FFDDE2E8"/>
      </x:top>
    </x:border>
    <x:border>
      <x:right style="thin">
        <x:color rgb="FFDDE2E8"/>
      </x:right>
      <x:top style="thin">
        <x:color rgb="FFDDE2E8"/>
      </x:top>
    </x:border>
    <x:border>
      <x:left style="thin">
        <x:color rgb="FFDDE2E8"/>
      </x:left>
      <x:bottom style="thin">
        <x:color rgb="FFDDE2E8"/>
      </x:bottom>
    </x:border>
    <x:border>
      <x:right style="thin">
        <x:color rgb="FFDDE2E8"/>
      </x:right>
      <x:bottom style="thin">
        <x:color rgb="FFDDE2E8"/>
      </x:bottom>
    </x:border>
  </x:borders>
  <x:cellStyleXfs count="1">
    <x:xf numFmtId="0" fontId="0" fillId="0" borderId="0"/>
  </x:cellStyleXfs>
  <x:cellXfs count="10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horizontal="center" vertical="top" wrapText="1"/>
    </x:xf>
    <x:xf numFmtId="0" fontId="4" fillId="5" borderId="5" xfId="0" applyNumberFormat="1" applyFont="1" applyFill="1" applyBorder="1" applyAlignment="1">
      <x:alignment horizontal="center" vertical="top" wrapText="1"/>
    </x:xf>
    <x:xf numFmtId="0" fontId="4" fillId="5" borderId="6" xfId="0" applyNumberFormat="1" applyFont="1" applyFill="1" applyBorder="1" applyAlignment="1">
      <x:alignment horizontal="center" vertical="top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3" fillId="4" borderId="8" xfId="0" applyNumberFormat="1" applyFont="1" applyFill="1" applyBorder="1" applyAlignment="1">
      <x:alignment horizontal="center" vertical="center" wrapText="1"/>
    </x:xf>
    <x:xf numFmtId="0" fontId="4" fillId="5" borderId="9" xfId="0" applyNumberFormat="1" applyFont="1" applyFill="1" applyBorder="1" applyAlignment="1">
      <x:alignment horizontal="center" vertical="top" wrapText="1"/>
    </x:xf>
    <x:xf numFmtId="0" fontId="4" fillId="5" borderId="10" xfId="0" applyNumberFormat="1" applyFont="1" applyFill="1" applyBorder="1" applyAlignment="1">
      <x:alignment horizontal="center" vertical="top" wrapText="1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1" xfId="0" applyNumberFormat="1" applyFont="1" applyFill="1" applyBorder="1"/>
    <x:xf numFmtId="0" fontId="6" fillId="6" borderId="6" xfId="0" applyNumberFormat="1" applyFont="1" applyFill="1" applyBorder="1"/>
    <x:xf numFmtId="0" fontId="6" fillId="6" borderId="12" xfId="0" applyNumberFormat="1" applyFont="1" applyFill="1" applyBorder="1"/>
    <x:xf numFmtId="0" fontId="6" fillId="6" borderId="13" xfId="0" applyNumberFormat="1" applyFont="1" applyFill="1" applyBorder="1"/>
    <x:xf numFmtId="0" fontId="6" fillId="6" borderId="4" xfId="0" applyNumberFormat="1" applyFont="1" applyFill="1" applyBorder="1"/>
    <x:xf numFmtId="0" fontId="6" fillId="6" borderId="14" xfId="0" applyNumberFormat="1" applyFont="1" applyFill="1" applyBorder="1"/>
    <x:xf numFmtId="0" fontId="6" fillId="6" borderId="11" xfId="0" applyNumberFormat="1" applyFont="1" applyFill="1" applyBorder="1" applyAlignment="1">
      <x:alignment horizontal="center"/>
    </x:xf>
    <x:xf numFmtId="0" fontId="6" fillId="6" borderId="6" xfId="0" applyNumberFormat="1" applyFont="1" applyFill="1" applyBorder="1" applyAlignment="1">
      <x:alignment horizontal="center"/>
    </x:xf>
    <x:xf numFmtId="0" fontId="6" fillId="6" borderId="12" xfId="0" applyNumberFormat="1" applyFont="1" applyFill="1" applyBorder="1" applyAlignment="1">
      <x:alignment horizontal="center"/>
    </x:xf>
    <x:xf numFmtId="0" fontId="6" fillId="6" borderId="13" xfId="0" applyNumberFormat="1" applyFont="1" applyFill="1" applyBorder="1" applyAlignment="1">
      <x:alignment horizontal="center"/>
    </x:xf>
    <x:xf numFmtId="0" fontId="6" fillId="6" borderId="4" xfId="0" applyNumberFormat="1" applyFont="1" applyFill="1" applyBorder="1" applyAlignment="1">
      <x:alignment horizontal="center"/>
    </x:xf>
    <x:xf numFmtId="0" fontId="6" fillId="6" borderId="14" xfId="0" applyNumberFormat="1" applyFont="1" applyFill="1" applyBorder="1" applyAlignment="1">
      <x:alignment horizontal="center"/>
    </x:xf>
    <x:xf numFmtId="0" fontId="6" fillId="6" borderId="11" xfId="0" applyNumberFormat="1" applyFont="1" applyFill="1" applyBorder="1" applyAlignment="1">
      <x:alignment horizontal="center" vertical="center"/>
    </x:xf>
    <x:xf numFmtId="0" fontId="6" fillId="6" borderId="6" xfId="0" applyNumberFormat="1" applyFont="1" applyFill="1" applyBorder="1" applyAlignment="1">
      <x:alignment horizontal="center" vertical="center"/>
    </x:xf>
    <x:xf numFmtId="0" fontId="6" fillId="6" borderId="12" xfId="0" applyNumberFormat="1" applyFont="1" applyFill="1" applyBorder="1" applyAlignment="1">
      <x:alignment horizontal="center" vertical="center"/>
    </x:xf>
    <x:xf numFmtId="0" fontId="6" fillId="6" borderId="13" xfId="0" applyNumberFormat="1" applyFont="1" applyFill="1" applyBorder="1" applyAlignment="1">
      <x:alignment horizontal="center" vertical="center"/>
    </x:xf>
    <x:xf numFmtId="0" fontId="6" fillId="6" borderId="4" xfId="0" applyNumberFormat="1" applyFont="1" applyFill="1" applyBorder="1" applyAlignment="1">
      <x:alignment horizontal="center" vertical="center"/>
    </x:xf>
    <x:xf numFmtId="0" fontId="6" fillId="6" borderId="14" xfId="0" applyNumberFormat="1" applyFont="1" applyFill="1" applyBorder="1" applyAlignment="1">
      <x:alignment horizontal="center" vertical="center"/>
    </x:xf>
    <x:xf numFmtId="0" fontId="7" fillId="6" borderId="0" xfId="0" applyNumberFormat="1" applyFont="1" applyFill="1" applyBorder="1"/>
    <x:xf numFmtId="0" fontId="7" fillId="6" borderId="4" xfId="0" applyNumberFormat="1" applyFont="1" applyFill="1" applyBorder="1"/>
    <x:xf numFmtId="0" fontId="7" fillId="6" borderId="5" xfId="0" applyNumberFormat="1" applyFont="1" applyFill="1" applyBorder="1"/>
    <x:xf numFmtId="0" fontId="7" fillId="6" borderId="6" xfId="0" applyNumberFormat="1" applyFont="1" applyFill="1" applyBorder="1"/>
    <x:xf numFmtId="0" fontId="7" fillId="6" borderId="4" xfId="0" applyNumberFormat="1" applyFont="1" applyFill="1" applyBorder="1" applyAlignment="1">
      <x:alignment wrapText="1"/>
    </x:xf>
    <x:xf numFmtId="0" fontId="7" fillId="6" borderId="5" xfId="0" applyNumberFormat="1" applyFont="1" applyFill="1" applyBorder="1" applyAlignment="1">
      <x:alignment wrapText="1"/>
    </x:xf>
    <x:xf numFmtId="0" fontId="7" fillId="6" borderId="6" xfId="0" applyNumberFormat="1" applyFont="1" applyFill="1" applyBorder="1" applyAlignment="1">
      <x:alignment wrapText="1"/>
    </x:xf>
    <x:xf numFmtId="0" fontId="7" fillId="6" borderId="4" xfId="0" applyNumberFormat="1" applyFont="1" applyFill="1" applyBorder="1" applyAlignment="1">
      <x:alignment vertical="top" wrapText="1"/>
    </x:xf>
    <x:xf numFmtId="0" fontId="7" fillId="6" borderId="5" xfId="0" applyNumberFormat="1" applyFont="1" applyFill="1" applyBorder="1" applyAlignment="1">
      <x:alignment vertical="top" wrapText="1"/>
    </x:xf>
    <x:xf numFmtId="0" fontId="7" fillId="6" borderId="6" xfId="0" applyNumberFormat="1" applyFont="1" applyFill="1" applyBorder="1" applyAlignment="1">
      <x:alignment vertical="top" wrapText="1"/>
    </x:xf>
    <x:xf numFmtId="0" fontId="7" fillId="7" borderId="6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 applyAlignment="1">
      <x:alignment horizontal="left" vertical="center"/>
    </x:xf>
    <x:xf numFmtId="0" fontId="9" fillId="3" borderId="0" xfId="0" applyNumberFormat="1" applyFont="1" applyFill="1" applyBorder="1" applyAlignment="1">
      <x:alignment horizontal="left" vertical="center" wrapText="1"/>
    </x:xf>
    <x:xf numFmtId="0" fontId="10" fillId="0" borderId="0" xfId="0" applyNumberFormat="1" applyFont="1" applyFill="1" applyBorder="1"/>
    <x:xf numFmtId="0" fontId="11" fillId="4" borderId="0" xfId="0" applyNumberFormat="1" applyFont="1" applyFill="1" applyBorder="1" applyAlignment="1">
      <x:alignment horizontal="center"/>
    </x:xf>
    <x:xf numFmtId="0" fontId="12" fillId="6" borderId="11" xfId="0" applyNumberFormat="1" applyFont="1" applyFill="1" applyBorder="1" applyAlignment="1">
      <x:alignment horizontal="center" vertical="center"/>
    </x:xf>
    <x:xf numFmtId="0" fontId="12" fillId="6" borderId="6" xfId="0" applyNumberFormat="1" applyFont="1" applyFill="1" applyBorder="1" applyAlignment="1">
      <x:alignment horizontal="center" vertical="center"/>
    </x:xf>
    <x:xf numFmtId="0" fontId="12" fillId="6" borderId="12" xfId="0" applyNumberFormat="1" applyFont="1" applyFill="1" applyBorder="1" applyAlignment="1">
      <x:alignment horizontal="center" vertical="center"/>
    </x:xf>
    <x:xf numFmtId="0" fontId="12" fillId="6" borderId="13" xfId="0" applyNumberFormat="1" applyFont="1" applyFill="1" applyBorder="1" applyAlignment="1">
      <x:alignment horizontal="center" vertical="center"/>
    </x:xf>
    <x:xf numFmtId="0" fontId="12" fillId="6" borderId="4" xfId="0" applyNumberFormat="1" applyFont="1" applyFill="1" applyBorder="1" applyAlignment="1">
      <x:alignment horizontal="center" vertical="center"/>
    </x:xf>
    <x:xf numFmtId="0" fontId="12" fillId="6" borderId="14" xfId="0" applyNumberFormat="1" applyFont="1" applyFill="1" applyBorder="1" applyAlignment="1">
      <x:alignment horizontal="center" vertical="center"/>
    </x:xf>
    <x:xf numFmtId="0" fontId="13" fillId="4" borderId="1" xfId="0" applyNumberFormat="1" applyFont="1" applyFill="1" applyBorder="1" applyAlignment="1">
      <x:alignment horizontal="center" vertical="center" wrapText="1"/>
    </x:xf>
    <x:xf numFmtId="0" fontId="13" fillId="4" borderId="2" xfId="0" applyNumberFormat="1" applyFont="1" applyFill="1" applyBorder="1" applyAlignment="1">
      <x:alignment horizontal="center" vertical="center" wrapText="1"/>
    </x:xf>
    <x:xf numFmtId="0" fontId="13" fillId="4" borderId="3" xfId="0" applyNumberFormat="1" applyFont="1" applyFill="1" applyBorder="1" applyAlignment="1">
      <x:alignment horizontal="center" vertical="center" wrapText="1"/>
    </x:xf>
    <x:xf numFmtId="0" fontId="14" fillId="5" borderId="4" xfId="0" applyNumberFormat="1" applyFont="1" applyFill="1" applyBorder="1" applyAlignment="1">
      <x:alignment vertical="top" wrapText="1"/>
    </x:xf>
    <x:xf numFmtId="0" fontId="14" fillId="5" borderId="5" xfId="0" applyNumberFormat="1" applyFont="1" applyFill="1" applyBorder="1" applyAlignment="1">
      <x:alignment vertical="top" wrapText="1"/>
    </x:xf>
    <x:xf numFmtId="0" fontId="14" fillId="5" borderId="6" xfId="0" applyNumberFormat="1" applyFont="1" applyFill="1" applyBorder="1" applyAlignment="1">
      <x:alignment vertical="top" wrapText="1"/>
    </x:xf>
    <x:xf numFmtId="0" fontId="15" fillId="6" borderId="4" xfId="0" applyNumberFormat="1" applyFont="1" applyFill="1" applyBorder="1" applyAlignment="1">
      <x:alignment vertical="top" wrapText="1"/>
    </x:xf>
    <x:xf numFmtId="0" fontId="15" fillId="6" borderId="5" xfId="0" applyNumberFormat="1" applyFont="1" applyFill="1" applyBorder="1" applyAlignment="1">
      <x:alignment vertical="top" wrapText="1"/>
    </x:xf>
    <x:xf numFmtId="0" fontId="15" fillId="7" borderId="6" xfId="0" applyNumberFormat="1" applyFont="1" applyFill="1" applyBorder="1" applyAlignment="1">
      <x:alignment vertical="top" wrapText="1"/>
    </x:xf>
    <x:xf numFmtId="0" fontId="13" fillId="4" borderId="7" xfId="0" applyNumberFormat="1" applyFont="1" applyFill="1" applyBorder="1" applyAlignment="1">
      <x:alignment horizontal="center" vertical="center" wrapText="1"/>
    </x:xf>
    <x:xf numFmtId="0" fontId="13" fillId="4" borderId="8" xfId="0" applyNumberFormat="1" applyFont="1" applyFill="1" applyBorder="1" applyAlignment="1">
      <x:alignment horizontal="center" vertical="center" wrapText="1"/>
    </x:xf>
    <x:xf numFmtId="0" fontId="14" fillId="5" borderId="5" xfId="0" applyNumberFormat="1" applyFont="1" applyFill="1" applyBorder="1" applyAlignment="1">
      <x:alignment horizontal="center" vertical="top" wrapText="1"/>
    </x:xf>
    <x:xf numFmtId="0" fontId="14" fillId="5" borderId="9" xfId="0" applyNumberFormat="1" applyFont="1" applyFill="1" applyBorder="1" applyAlignment="1">
      <x:alignment horizontal="center" vertical="top" wrapText="1"/>
    </x:xf>
    <x:xf numFmtId="0" fontId="14" fillId="5" borderId="6" xfId="0" applyNumberFormat="1" applyFont="1" applyFill="1" applyBorder="1" applyAlignment="1">
      <x:alignment horizontal="center" vertical="top" wrapText="1"/>
    </x:xf>
    <x:xf numFmtId="0" fontId="14" fillId="5" borderId="1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6">
    <x:dxf>
      <x:font>
        <x:b/>
        <x:color rgb="FF85131F"/>
      </x:font>
      <x:fill>
        <x:patternFill patternType="solid">
          <x:bgColor rgb="FFFDE7EA"/>
        </x:patternFill>
      </x:fill>
    </x:dxf>
    <x:dxf>
      <x:font>
        <x:b/>
        <x:color rgb="FF9A6700"/>
      </x:font>
      <x:fill>
        <x:patternFill patternType="solid">
          <x:bgColor rgb="FFFFF1CC"/>
        </x:patternFill>
      </x:fill>
    </x:dxf>
    <x:dxf>
      <x:font>
        <x:b/>
        <x:color rgb="FF1D4ED8"/>
      </x:font>
      <x:fill>
        <x:patternFill patternType="solid">
          <x:bgColor rgb="FFE8F2FF"/>
        </x:patternFill>
      </x:fill>
    </x:dxf>
    <x:dxf>
      <x:font>
        <x:b/>
        <x:color rgb="FF85131F"/>
      </x:font>
      <x:fill>
        <x:patternFill patternType="solid">
          <x:bgColor rgb="FFFDE7EA"/>
        </x:patternFill>
      </x:fill>
    </x:dxf>
    <x:dxf>
      <x:font>
        <x:b/>
        <x:color rgb="FF087F5B"/>
      </x:font>
      <x:fill>
        <x:patternFill patternType="solid">
          <x:bgColor rgb="FFDFF4EA"/>
        </x:patternFill>
      </x:fill>
    </x:dxf>
    <x:dxf>
      <x:font>
        <x:b/>
        <x:color rgb="FF9A6700"/>
      </x:font>
      <x:fill>
        <x:patternFill patternType="solid">
          <x:bgColor rgb="FFFFF1CC"/>
        </x:patternFill>
      </x:fill>
    </x:dxf>
  </x:dxfs>
</x:styleSheet>
</file>

<file path=xl/_rels/workbook.xml.rels><?xml version="1.0" encoding="UTF-8" standalone="yes"?>
<Relationships xmlns="http://schemas.openxmlformats.org/package/2006/relationships"><Relationship Id="Rf7a829b917a54bf3" Type="http://schemas.openxmlformats.org/officeDocument/2006/relationships/styles" Target="/xl/styles.xml"/><Relationship Id="Re54a5553f6114711" Type="http://schemas.openxmlformats.org/officeDocument/2006/relationships/worksheet" Target="/xl/worksheets/sheet1.xml"/><Relationship Id="rId3" Type="http://schemas.openxmlformats.org/officeDocument/2006/relationships/customXml" Target="../customXml/item3.xml"/><Relationship Id="Rb3314c7ae7d4477d" Type="http://schemas.openxmlformats.org/officeDocument/2006/relationships/sharedStrings" Target="/xl/sharedStrings.xml"/><Relationship Id="R1a37deeb02c4424a" Type="http://schemas.openxmlformats.org/officeDocument/2006/relationships/worksheet" Target="/xl/worksheets/sheet3.xml"/><Relationship Id="R866112f92e674580" Type="http://schemas.openxmlformats.org/officeDocument/2006/relationships/worksheet" Target="/xl/worksheets/sheet5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R128de39a4e9f431f" Type="http://schemas.openxmlformats.org/officeDocument/2006/relationships/worksheet" Target="/xl/worksheets/sheet4.xml"/><Relationship Id="R587cc946acb24094" Type="http://schemas.openxmlformats.org/officeDocument/2006/relationships/theme" Target="/xl/theme/theme1.xml"/><Relationship Id="Re709612de9b14e85" Type="http://schemas.openxmlformats.org/officeDocument/2006/relationships/worksheet" Target="/xl/worksheets/sheet2.xml"/></Relationships>
</file>

<file path=xl/tables/table1.xml><?xml version="1.0" encoding="utf-8"?>
<x:table xmlns:x="http://schemas.openxmlformats.org/spreadsheetml/2006/main" id="1" name="ProductBacklogTable" displayName="ProductBacklogTable" ref="A4:P24" headerRowCount="1" totalsRowCount="0" totalsRowShown="0">
  <x:tableColumns count="16">
    <x:tableColumn id="1" name="Orden"/>
    <x:tableColumn id="2" name="ID"/>
    <x:tableColumn id="3" name="Épica"/>
    <x:tableColumn id="4" name="Historia de usuario"/>
    <x:tableColumn id="5" name="Actor"/>
    <x:tableColumn id="6" name="Valor cliente&#10;(1-5)"/>
    <x:tableColumn id="7" name="Urgencia&#10;(1-5)"/>
    <x:tableColumn id="8" name="Prioridad"/>
    <x:tableColumn id="9" name="Justificación de prioridad"/>
    <x:tableColumn id="10" name="Dependencias"/>
    <x:tableColumn id="11" name="Criterio de aceptación resumido"/>
    <x:tableColumn id="12" name="Pantalla del prototipo"/>
    <x:tableColumn id="13" name="Estado del requisito"/>
    <x:tableColumn id="14" name="Story Points"/>
    <x:tableColumn id="15" name="Sprint sugerido"/>
    <x:tableColumn id="16" name="Puntaje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AcceptanceCriteriaTable" displayName="AcceptanceCriteriaTable" ref="A4:G24" headerRowCount="1" totalsRowCount="0" totalsRowShown="0">
  <x:tableColumns count="7">
    <x:tableColumn id="1" name="Historia"/>
    <x:tableColumn id="2" name="Épica"/>
    <x:tableColumn id="3" name="Dado"/>
    <x:tableColumn id="4" name="Cuando"/>
    <x:tableColumn id="5" name="Entonces"/>
    <x:tableColumn id="6" name="Evidencia en prototipo"/>
    <x:tableColumn id="7" name="Tipo de prueba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PrototypeMapTable" displayName="PrototypeMapTable" ref="A4:G11" headerRowCount="1" totalsRowCount="0" totalsRowShown="0">
  <x:tableColumns count="7">
    <x:tableColumn id="1" name="Orden"/>
    <x:tableColumn id="2" name="Pantalla / frame"/>
    <x:tableColumn id="3" name="Propósito"/>
    <x:tableColumn id="4" name="Entrada principal"/>
    <x:tableColumn id="5" name="Acciones demostrables"/>
    <x:tableColumn id="6" name="Salida / siguiente paso"/>
    <x:tableColumn id="7" name="Historias vinculadas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AssumptionsTable" displayName="AssumptionsTable" ref="A4:G20" headerRowCount="1" totalsRowCount="0" totalsRowShown="0">
  <x:tableColumns count="7">
    <x:tableColumn id="1" name="ID"/>
    <x:tableColumn id="2" name="Tema"/>
    <x:tableColumn id="3" name="Clasificación"/>
    <x:tableColumn id="4" name="Definición actual"/>
    <x:tableColumn id="5" name="Pregunta de validación"/>
    <x:tableColumn id="6" name="Responsable"/>
    <x:tableColumn id="7" name="Impacto si no se resuelve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998b656b3324d8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4a30f363915485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6c14ebc1f0848b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e9e58bcb8ae4f6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28" hidden="0" customWidth="1"/>
    <x:col min="5" max="5" width="18" hidden="0" customWidth="1"/>
    <x:col min="6" max="6" width="28" hidden="0" customWidth="1"/>
    <x:col min="7" max="7" width="18" hidden="0" customWidth="1"/>
    <x:col min="8" max="8" width="18" hidden="0" customWidth="1"/>
  </x:cols>
  <x:sheetData>
    <x:row r="1" ht="34" customHeight="1">
      <x:c r="A1" s="75" t="str">
        <x:v>RESUMEN EJECUTIVO · MOD-UTEN-001</x:v>
      </x:c>
      <x:c r="B1" s="75" t="str">
        <x:v>RESUMEN EJECUTIVO · MOD-UTEN-001</x:v>
      </x:c>
      <x:c r="C1" s="75" t="str">
        <x:v>RESUMEN EJECUTIVO · MOD-UTEN-001</x:v>
      </x:c>
      <x:c r="D1" s="75" t="str">
        <x:v>RESUMEN EJECUTIVO · MOD-UTEN-001</x:v>
      </x:c>
      <x:c r="E1" s="75" t="str">
        <x:v>RESUMEN EJECUTIVO · MOD-UTEN-001</x:v>
      </x:c>
      <x:c r="F1" s="75" t="str">
        <x:v>RESUMEN EJECUTIVO · MOD-UTEN-001</x:v>
      </x:c>
      <x:c r="G1" s="75" t="str">
        <x:v>RESUMEN EJECUTIVO · MOD-UTEN-001</x:v>
      </x:c>
      <x:c r="H1" s="75" t="str">
        <x:v>RESUMEN EJECUTIVO · MOD-UTEN-001</x:v>
      </x:c>
    </x:row>
    <x:row r="2" ht="29" customHeight="1">
      <x:c r="A2" s="76" t="str">
        <x:v>Backlog priorizado, alcance del prototipo y condiciones para convertirlo en un módulo real</x:v>
      </x:c>
      <x:c r="B2" s="76" t="str">
        <x:v>Backlog priorizado, alcance del prototipo y condiciones para convertirlo en un módulo real</x:v>
      </x:c>
      <x:c r="C2" s="76" t="str">
        <x:v>Backlog priorizado, alcance del prototipo y condiciones para convertirlo en un módulo real</x:v>
      </x:c>
      <x:c r="D2" s="76" t="str">
        <x:v>Backlog priorizado, alcance del prototipo y condiciones para convertirlo en un módulo real</x:v>
      </x:c>
      <x:c r="E2" s="76" t="str">
        <x:v>Backlog priorizado, alcance del prototipo y condiciones para convertirlo en un módulo real</x:v>
      </x:c>
      <x:c r="F2" s="76" t="str">
        <x:v>Backlog priorizado, alcance del prototipo y condiciones para convertirlo en un módulo real</x:v>
      </x:c>
      <x:c r="G2" s="76" t="str">
        <x:v>Backlog priorizado, alcance del prototipo y condiciones para convertirlo en un módulo real</x:v>
      </x:c>
      <x:c r="H2" s="76" t="str">
        <x:v>Backlog priorizado, alcance del prototipo y condiciones para convertirlo en un módulo real</x:v>
      </x:c>
    </x:row>
    <x:row r="3">
      <x:c r="A3" s="77"/>
      <x:c r="B3" s="77"/>
      <x:c r="C3" s="77"/>
      <x:c r="D3" s="77"/>
      <x:c r="E3" s="77"/>
      <x:c r="F3" s="77"/>
      <x:c r="G3" s="77"/>
      <x:c r="H3" s="77"/>
    </x:row>
    <x:row r="4">
      <x:c r="A4" s="78" t="str">
        <x:v>Historias totales</x:v>
      </x:c>
      <x:c r="B4" s="78" t="str">
        <x:v>Historias totales</x:v>
      </x:c>
      <x:c r="C4" s="78" t="str">
        <x:v>Bloqueantes P0</x:v>
      </x:c>
      <x:c r="D4" s="78" t="str">
        <x:v>Bloqueantes P0</x:v>
      </x:c>
      <x:c r="E4" s="78" t="str">
        <x:v>Por validar</x:v>
      </x:c>
      <x:c r="F4" s="78" t="str">
        <x:v>Por validar</x:v>
      </x:c>
      <x:c r="G4" s="78" t="str">
        <x:v>Story points</x:v>
      </x:c>
      <x:c r="H4" s="78" t="str">
        <x:v>Story points</x:v>
      </x:c>
    </x:row>
    <x:row r="5" ht="27" customHeight="1">
      <x:c r="A5" s="79" t="n">
        <x:f>COUNTA('01_PRODUCT_BACKLOG'!$B$5:$B$24)</x:f>
        <x:v>20</x:v>
      </x:c>
      <x:c r="B5" s="80"/>
      <x:c r="C5" s="80" t="n">
        <x:f>COUNTIF('01_PRODUCT_BACKLOG'!$H$5:$H$24,"P0")</x:f>
        <x:v>13</x:v>
      </x:c>
      <x:c r="D5" s="80"/>
      <x:c r="E5" s="80" t="n">
        <x:f>COUNTIF('01_PRODUCT_BACKLOG'!$M$5:$M$24,"&lt;&gt;Confirmado por conversación")</x:f>
        <x:v>7</x:v>
      </x:c>
      <x:c r="F5" s="80"/>
      <x:c r="G5" s="80" t="n">
        <x:f>SUM('01_PRODUCT_BACKLOG'!$N$5:$N$24)</x:f>
        <x:v>130</x:v>
      </x:c>
      <x:c r="H5" s="81"/>
    </x:row>
    <x:row r="6" ht="27" customHeight="1">
      <x:c r="A6" s="82"/>
      <x:c r="B6" s="83"/>
      <x:c r="C6" s="83"/>
      <x:c r="D6" s="83"/>
      <x:c r="E6" s="83"/>
      <x:c r="F6" s="83"/>
      <x:c r="G6" s="83"/>
      <x:c r="H6" s="84"/>
    </x:row>
    <x:row r="7">
      <x:c r="A7" s="77"/>
      <x:c r="B7" s="77"/>
      <x:c r="C7" s="77"/>
      <x:c r="D7" s="77"/>
      <x:c r="E7" s="77"/>
      <x:c r="F7" s="77"/>
      <x:c r="G7" s="77"/>
      <x:c r="H7" s="77"/>
    </x:row>
    <x:row r="8" ht="32" customHeight="1">
      <x:c r="A8" s="85" t="str">
        <x:v>PROPUESTA DE ENTREGA POR SPRINT</x:v>
      </x:c>
      <x:c r="B8" s="86" t="str">
        <x:v>PROPUESTA DE ENTREGA POR SPRINT</x:v>
      </x:c>
      <x:c r="C8" s="86" t="str">
        <x:v>PROPUESTA DE ENTREGA POR SPRINT</x:v>
      </x:c>
      <x:c r="D8" s="86" t="str">
        <x:v>PROPUESTA DE ENTREGA POR SPRINT</x:v>
      </x:c>
      <x:c r="E8" s="86" t="str">
        <x:v>PROPUESTA DE ENTREGA POR SPRINT</x:v>
      </x:c>
      <x:c r="F8" s="86" t="str">
        <x:v>PROPUESTA DE ENTREGA POR SPRINT</x:v>
      </x:c>
      <x:c r="G8" s="86" t="str">
        <x:v>PROPUESTA DE ENTREGA POR SPRINT</x:v>
      </x:c>
      <x:c r="H8" s="87" t="str">
        <x:v>PROPUESTA DE ENTREGA POR SPRINT</x:v>
      </x:c>
    </x:row>
    <x:row r="9" ht="32" customHeight="1">
      <x:c r="A9" s="85" t="str">
        <x:v>Sprint</x:v>
      </x:c>
      <x:c r="B9" s="86" t="str">
        <x:v>Objetivo</x:v>
      </x:c>
      <x:c r="C9" s="86" t="str">
        <x:v>Historias</x:v>
      </x:c>
      <x:c r="D9" s="86" t="str">
        <x:v>Dependencia crítica</x:v>
      </x:c>
      <x:c r="E9" s="86" t="str">
        <x:v>Resultado demostrable</x:v>
      </x:c>
      <x:c r="F9" s="86" t="str">
        <x:v>Prioridad</x:v>
      </x:c>
      <x:c r="G9" s="86" t="str">
        <x:v>Decisión requerida</x:v>
      </x:c>
      <x:c r="H9" s="87" t="str">
        <x:v>Estado</x:v>
      </x:c>
    </x:row>
    <x:row r="10" ht="46" customHeight="1">
      <x:c r="A10" s="88" t="str">
        <x:v>Sprint 1</x:v>
      </x:c>
      <x:c r="B10" s="88" t="str">
        <x:v>Planificar y validar disponibilidad</x:v>
      </x:c>
      <x:c r="C10" s="88" t="str">
        <x:v>HU-001 a HU-005, HU-013</x:v>
      </x:c>
      <x:c r="D10" s="88" t="str">
        <x:v>Normalización de catálogos, unidades y laboratorios</x:v>
      </x:c>
      <x:c r="E10" s="88" t="str">
        <x:v>Práctica con requerimientos y conflictos visibles</x:v>
      </x:c>
      <x:c r="F10" s="88" t="str">
        <x:v>P0</x:v>
      </x:c>
      <x:c r="G10" s="88" t="str">
        <x:v>Contrato de datos</x:v>
      </x:c>
      <x:c r="H10" s="88" t="str">
        <x:v>Propuesto</x:v>
      </x:c>
    </x:row>
    <x:row r="11" ht="46" customHeight="1">
      <x:c r="A11" s="89" t="str">
        <x:v>Sprint 2</x:v>
      </x:c>
      <x:c r="B11" s="89" t="str">
        <x:v>Reservar, preparar, entregar y devolver</x:v>
      </x:c>
      <x:c r="C11" s="89" t="str">
        <x:v>HU-006 a HU-011</x:v>
      </x:c>
      <x:c r="D11" s="89" t="str">
        <x:v>Modelo de reservas y compatibilidad L-3</x:v>
      </x:c>
      <x:c r="E11" s="89" t="str">
        <x:v>Flujo operativo de extremo a extremo</x:v>
      </x:c>
      <x:c r="F11" s="89" t="str">
        <x:v>P0</x:v>
      </x:c>
      <x:c r="G11" s="89" t="str">
        <x:v>Regla de préstamos</x:v>
      </x:c>
      <x:c r="H11" s="89" t="str">
        <x:v>Propuesto</x:v>
      </x:c>
    </x:row>
    <x:row r="12" ht="46" customHeight="1">
      <x:c r="A12" s="89" t="str">
        <x:v>Sprint 3</x:v>
      </x:c>
      <x:c r="B12" s="89" t="str">
        <x:v>Resolver excepciones y supervisar</x:v>
      </x:c>
      <x:c r="C12" s="89" t="str">
        <x:v>HU-012, HU-014 a HU-016</x:v>
      </x:c>
      <x:c r="D12" s="89" t="str">
        <x:v>Definición institucional L-5 y notificaciones</x:v>
      </x:c>
      <x:c r="E12" s="89" t="str">
        <x:v>Incidente auditable y tablero semanal</x:v>
      </x:c>
      <x:c r="F12" s="89" t="str">
        <x:v>P0/P1</x:v>
      </x:c>
      <x:c r="G12" s="89" t="str">
        <x:v>Responsabilidad funcional</x:v>
      </x:c>
      <x:c r="H12" s="89" t="str">
        <x:v>Propuesto</x:v>
      </x:c>
    </x:row>
    <x:row r="13" ht="46" customHeight="1">
      <x:c r="A13" s="90" t="str">
        <x:v>Sprint 4</x:v>
      </x:c>
      <x:c r="B13" s="90" t="str">
        <x:v>Analizar demanda y documentar</x:v>
      </x:c>
      <x:c r="C13" s="90" t="str">
        <x:v>HU-017 a HU-020</x:v>
      </x:c>
      <x:c r="D13" s="90" t="str">
        <x:v>Histórico suficiente y formatos aprobados</x:v>
      </x:c>
      <x:c r="E13" s="90" t="str">
        <x:v>Brechas, propuesta y exportaciones</x:v>
      </x:c>
      <x:c r="F13" s="90" t="str">
        <x:v>P1/P2</x:v>
      </x:c>
      <x:c r="G13" s="90" t="str">
        <x:v>Método de cálculo</x:v>
      </x:c>
      <x:c r="H13" s="90" t="str">
        <x:v>Propuesto</x:v>
      </x:c>
    </x:row>
    <x:row r="14">
      <x:c r="A14" s="77"/>
      <x:c r="B14" s="77"/>
      <x:c r="C14" s="77"/>
      <x:c r="D14" s="77"/>
      <x:c r="E14" s="77"/>
      <x:c r="F14" s="77"/>
      <x:c r="G14" s="77"/>
      <x:c r="H14" s="77"/>
    </x:row>
    <x:row r="15" ht="32" customHeight="1">
      <x:c r="A15" s="85" t="str">
        <x:v>DEFINICIÓN DE LISTO PARA IMPLEMENTAR</x:v>
      </x:c>
      <x:c r="B15" s="86" t="str">
        <x:v>DEFINICIÓN DE LISTO PARA IMPLEMENTAR</x:v>
      </x:c>
      <x:c r="C15" s="86" t="str">
        <x:v>DEFINICIÓN DE LISTO PARA IMPLEMENTAR</x:v>
      </x:c>
      <x:c r="D15" s="86" t="str">
        <x:v>DEFINICIÓN DE LISTO PARA IMPLEMENTAR</x:v>
      </x:c>
      <x:c r="E15" s="86" t="str">
        <x:v>DEFINICIÓN DE LISTO PARA IMPLEMENTAR</x:v>
      </x:c>
      <x:c r="F15" s="86" t="str">
        <x:v>DEFINICIÓN DE LISTO PARA IMPLEMENTAR</x:v>
      </x:c>
      <x:c r="G15" s="86" t="str">
        <x:v>DEFINICIÓN DE LISTO PARA IMPLEMENTAR</x:v>
      </x:c>
      <x:c r="H15" s="87" t="str">
        <x:v>DEFINICIÓN DE LISTO PARA IMPLEMENTAR</x:v>
      </x:c>
    </x:row>
    <x:row r="16" ht="42" customHeight="1">
      <x:c r="A16" s="91" t="str">
        <x:v>1</x:v>
      </x:c>
      <x:c r="B16" s="91" t="str">
        <x:v>Autoridad funcional valida flujo, roles, L-3, L-5 y préstamos.</x:v>
      </x:c>
      <x:c r="C16" s="91" t="str">
        <x:v>2</x:v>
      </x:c>
      <x:c r="D16" s="91" t="str">
        <x:v>Datos aprueba entidades, claves, nulabilidad, auditoría y migración.</x:v>
      </x:c>
      <x:c r="E16" s="91" t="str">
        <x:v>3</x:v>
      </x:c>
      <x:c r="F16" s="91" t="str">
        <x:v>Los 107 catálogos y 556 unidades tienen estado utilizable para el módulo.</x:v>
      </x:c>
      <x:c r="G16" s="91" t="str"/>
      <x:c r="H16" s="91" t="str"/>
    </x:row>
    <x:row r="17" ht="42" customHeight="1">
      <x:c r="A17" s="92" t="str">
        <x:v>4</x:v>
      </x:c>
      <x:c r="B17" s="92" t="str">
        <x:v>Prototipo y criterios de aceptación quedan aprobados.</x:v>
      </x:c>
      <x:c r="C17" s="92" t="str">
        <x:v>5</x:v>
      </x:c>
      <x:c r="D17" s="92" t="str">
        <x:v>QA dispone de datos de prueba y matriz de regresión.</x:v>
      </x:c>
      <x:c r="E17" s="92" t="str">
        <x:v>6</x:v>
      </x:c>
      <x:c r="F17" s="92" t="str">
        <x:v>No existen incidencias P0 de normalización para el alcance.</x:v>
      </x:c>
      <x:c r="G17" s="92" t="str"/>
      <x:c r="H17" s="92" t="str"/>
    </x:row>
    <x:row r="18" ht="42" customHeight="1">
      <x:c r="A18" s="93" t="str">
        <x:v>Nota</x:v>
      </x:c>
      <x:c r="B18" s="93" t="str">
        <x:v>El prototipo entregado no modifica la base de datos ni confirma el contrato propuesto.</x:v>
      </x:c>
      <x:c r="C18" s="93" t="str"/>
      <x:c r="D18" s="93" t="str"/>
      <x:c r="E18" s="93" t="str"/>
      <x:c r="F18" s="93" t="str"/>
      <x:c r="G18" s="93" t="str"/>
      <x:c r="H18" s="93" t="str"/>
    </x:row>
  </x:sheetData>
  <x:mergeCells>
    <x:mergeCell ref="A1:H1"/>
    <x:mergeCell ref="A2:H2"/>
    <x:mergeCell ref="A4:B4"/>
    <x:mergeCell ref="C4:D4"/>
    <x:mergeCell ref="E4:F4"/>
    <x:mergeCell ref="G4:H4"/>
    <x:mergeCell ref="A5:B6"/>
    <x:mergeCell ref="C5:D6"/>
    <x:mergeCell ref="E5:F6"/>
    <x:mergeCell ref="G5:H6"/>
    <x:mergeCell ref="A8:H8"/>
    <x:mergeCell ref="A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4" hidden="0" customWidth="1"/>
    <x:col min="3" max="3" width="20" hidden="0" customWidth="1"/>
    <x:col min="4" max="4" width="48" hidden="0" customWidth="1"/>
    <x:col min="5" max="5" width="24" hidden="0" customWidth="1"/>
    <x:col min="6" max="6" width="11" hidden="0" customWidth="1"/>
    <x:col min="7" max="7" width="11" hidden="0" customWidth="1"/>
    <x:col min="8" max="8" width="10" hidden="0" customWidth="1"/>
    <x:col min="9" max="9" width="34" hidden="0" customWidth="1"/>
    <x:col min="10" max="10" width="32" hidden="0" customWidth="1"/>
    <x:col min="11" max="11" width="42" hidden="0" customWidth="1"/>
    <x:col min="12" max="12" width="25" hidden="0" customWidth="1"/>
    <x:col min="13" max="13" width="25" hidden="0" customWidth="1"/>
    <x:col min="14" max="14" width="12" hidden="0" customWidth="1"/>
    <x:col min="15" max="15" width="15" hidden="0" customWidth="1"/>
    <x:col min="16" max="16" width="11" hidden="0" customWidth="1"/>
  </x:cols>
  <x:sheetData>
    <x:row r="1" ht="34" customHeight="1">
      <x:c r="A1" s="75" t="str">
        <x:v>PRODUCT BACKLOG · MOD-UTEN-001</x:v>
      </x:c>
      <x:c r="B1" s="75" t="str">
        <x:v>PRODUCT BACKLOG · MOD-UTEN-001</x:v>
      </x:c>
      <x:c r="C1" s="75" t="str">
        <x:v>PRODUCT BACKLOG · MOD-UTEN-001</x:v>
      </x:c>
      <x:c r="D1" s="75" t="str">
        <x:v>PRODUCT BACKLOG · MOD-UTEN-001</x:v>
      </x:c>
      <x:c r="E1" s="75" t="str">
        <x:v>PRODUCT BACKLOG · MOD-UTEN-001</x:v>
      </x:c>
      <x:c r="F1" s="75" t="str">
        <x:v>PRODUCT BACKLOG · MOD-UTEN-001</x:v>
      </x:c>
      <x:c r="G1" s="75" t="str">
        <x:v>PRODUCT BACKLOG · MOD-UTEN-001</x:v>
      </x:c>
      <x:c r="H1" s="75" t="str">
        <x:v>PRODUCT BACKLOG · MOD-UTEN-001</x:v>
      </x:c>
      <x:c r="I1" s="75" t="str">
        <x:v>PRODUCT BACKLOG · MOD-UTEN-001</x:v>
      </x:c>
      <x:c r="J1" s="75" t="str">
        <x:v>PRODUCT BACKLOG · MOD-UTEN-001</x:v>
      </x:c>
      <x:c r="K1" s="75" t="str">
        <x:v>PRODUCT BACKLOG · MOD-UTEN-001</x:v>
      </x:c>
      <x:c r="L1" s="75" t="str">
        <x:v>PRODUCT BACKLOG · MOD-UTEN-001</x:v>
      </x:c>
      <x:c r="M1" s="75" t="str">
        <x:v>PRODUCT BACKLOG · MOD-UTEN-001</x:v>
      </x:c>
      <x:c r="N1" s="75" t="str">
        <x:v>PRODUCT BACKLOG · MOD-UTEN-001</x:v>
      </x:c>
      <x:c r="O1" s="75" t="str">
        <x:v>PRODUCT BACKLOG · MOD-UTEN-001</x:v>
      </x:c>
      <x:c r="P1" s="75" t="str">
        <x:v>PRODUCT BACKLOG · MOD-UTEN-001</x:v>
      </x:c>
    </x:row>
    <x:row r="2" ht="29" customHeight="1">
      <x:c r="A2" s="76" t="str">
        <x:v>Planificación y control de utensilios para prácticas académicas · versión base para validación funcional</x:v>
      </x:c>
      <x:c r="B2" s="76" t="str">
        <x:v>Planificación y control de utensilios para prácticas académicas · versión base para validación funcional</x:v>
      </x:c>
      <x:c r="C2" s="76" t="str">
        <x:v>Planificación y control de utensilios para prácticas académicas · versión base para validación funcional</x:v>
      </x:c>
      <x:c r="D2" s="76" t="str">
        <x:v>Planificación y control de utensilios para prácticas académicas · versión base para validación funcional</x:v>
      </x:c>
      <x:c r="E2" s="76" t="str">
        <x:v>Planificación y control de utensilios para prácticas académicas · versión base para validación funcional</x:v>
      </x:c>
      <x:c r="F2" s="76" t="str">
        <x:v>Planificación y control de utensilios para prácticas académicas · versión base para validación funcional</x:v>
      </x:c>
      <x:c r="G2" s="76" t="str">
        <x:v>Planificación y control de utensilios para prácticas académicas · versión base para validación funcional</x:v>
      </x:c>
      <x:c r="H2" s="76" t="str">
        <x:v>Planificación y control de utensilios para prácticas académicas · versión base para validación funcional</x:v>
      </x:c>
      <x:c r="I2" s="76" t="str">
        <x:v>Planificación y control de utensilios para prácticas académicas · versión base para validación funcional</x:v>
      </x:c>
      <x:c r="J2" s="76" t="str">
        <x:v>Planificación y control de utensilios para prácticas académicas · versión base para validación funcional</x:v>
      </x:c>
      <x:c r="K2" s="76" t="str">
        <x:v>Planificación y control de utensilios para prácticas académicas · versión base para validación funcional</x:v>
      </x:c>
      <x:c r="L2" s="76" t="str">
        <x:v>Planificación y control de utensilios para prácticas académicas · versión base para validación funcional</x:v>
      </x:c>
      <x:c r="M2" s="76" t="str">
        <x:v>Planificación y control de utensilios para prácticas académicas · versión base para validación funcional</x:v>
      </x:c>
      <x:c r="N2" s="76" t="str">
        <x:v>Planificación y control de utensilios para prácticas académicas · versión base para validación funcional</x:v>
      </x:c>
      <x:c r="O2" s="76" t="str">
        <x:v>Planificación y control de utensilios para prácticas académicas · versión base para validación funcional</x:v>
      </x:c>
      <x:c r="P2" s="76" t="str">
        <x:v>Planificación y control de utensilios para prácticas académicas · versión base para validación funcional</x:v>
      </x:c>
    </x:row>
    <x:row r="3">
      <x:c r="A3" s="77"/>
      <x:c r="B3" s="77"/>
      <x:c r="C3" s="77"/>
      <x:c r="D3" s="77"/>
      <x:c r="E3" s="77"/>
      <x:c r="F3" s="77"/>
      <x:c r="G3" s="77"/>
      <x:c r="H3" s="77"/>
      <x:c r="I3" s="77"/>
      <x:c r="J3" s="77"/>
      <x:c r="K3" s="77"/>
      <x:c r="L3" s="77"/>
      <x:c r="M3" s="77"/>
      <x:c r="N3" s="77"/>
      <x:c r="O3" s="77"/>
      <x:c r="P3" s="77"/>
    </x:row>
    <x:row r="4" ht="32" customHeight="1">
      <x:c r="A4" s="94" t="str">
        <x:v>Orden</x:v>
      </x:c>
      <x:c r="B4" s="95" t="str">
        <x:v>ID</x:v>
      </x:c>
      <x:c r="C4" s="95" t="str">
        <x:v>Épica</x:v>
      </x:c>
      <x:c r="D4" s="95" t="str">
        <x:v>Historia de usuario</x:v>
      </x:c>
      <x:c r="E4" s="95" t="str">
        <x:v>Actor</x:v>
      </x:c>
      <x:c r="F4" s="95" t="str">
        <x:v>Valor cliente
(1-5)</x:v>
      </x:c>
      <x:c r="G4" s="95" t="str">
        <x:v>Urgencia
(1-5)</x:v>
      </x:c>
      <x:c r="H4" s="95" t="str">
        <x:v>Prioridad</x:v>
      </x:c>
      <x:c r="I4" s="95" t="str">
        <x:v>Justificación de prioridad</x:v>
      </x:c>
      <x:c r="J4" s="95" t="str">
        <x:v>Dependencias</x:v>
      </x:c>
      <x:c r="K4" s="95" t="str">
        <x:v>Criterio de aceptación resumido</x:v>
      </x:c>
      <x:c r="L4" s="95" t="str">
        <x:v>Pantalla del prototipo</x:v>
      </x:c>
      <x:c r="M4" s="95" t="str">
        <x:v>Estado del requisito</x:v>
      </x:c>
      <x:c r="N4" s="95" t="str">
        <x:v>Story Points</x:v>
      </x:c>
      <x:c r="O4" s="95" t="str">
        <x:v>Sprint sugerido</x:v>
      </x:c>
      <x:c r="P4" s="95" t="str">
        <x:v>Puntaje</x:v>
      </x:c>
    </x:row>
    <x:row r="5" ht="58" customHeight="1">
      <x:c r="A5" s="96" t="n">
        <x:v>1</x:v>
      </x:c>
      <x:c r="B5" s="89" t="str">
        <x:v>HU-UTEN-001</x:v>
      </x:c>
      <x:c r="C5" s="89" t="str">
        <x:v>Configuración académica</x:v>
      </x:c>
      <x:c r="D5" s="89" t="str">
        <x:v>Como responsable de laboratorio, quiero crear el plan semestral con gestión, asignatura, grupo y responsable, para organizar las prácticas sobre una base común.</x:v>
      </x:c>
      <x:c r="E5" s="89" t="str">
        <x:v>Responsable de laboratorio</x:v>
      </x:c>
      <x:c r="F5" s="96" t="n">
        <x:v>5</x:v>
      </x:c>
      <x:c r="G5" s="96" t="n">
        <x:v>5</x:v>
      </x:c>
      <x:c r="H5" s="96" t="str">
        <x:v>P0</x:v>
      </x:c>
      <x:c r="I5" s="89" t="str">
        <x:v>Sin un contexto académico no existe una reserva trazable.</x:v>
      </x:c>
      <x:c r="J5" s="89" t="str">
        <x:v>Catálogos académicos y responsables vigentes.</x:v>
      </x:c>
      <x:c r="K5" s="89" t="str">
        <x:v>Dado un semestre activo, al guardar datos obligatorios se crea un borrador único y auditable.</x:v>
      </x:c>
      <x:c r="L5" s="89" t="str">
        <x:v>Planificación</x:v>
      </x:c>
      <x:c r="M5" s="89" t="str">
        <x:v>Confirmado por conversación</x:v>
      </x:c>
      <x:c r="N5" s="96" t="n">
        <x:v>5</x:v>
      </x:c>
      <x:c r="O5" s="96" t="str">
        <x:v>Sprint 1</x:v>
      </x:c>
      <x:c r="P5" s="97" t="n">
        <x:f>F5*3+G5*2+IF(H5="P0",10,IF(H5="P1",5,0))</x:f>
        <x:v>35</x:v>
      </x:c>
    </x:row>
    <x:row r="6" ht="58" customHeight="1">
      <x:c r="A6" s="96" t="n">
        <x:v>2</x:v>
      </x:c>
      <x:c r="B6" s="89" t="str">
        <x:v>HU-UTEN-002</x:v>
      </x:c>
      <x:c r="C6" s="89" t="str">
        <x:v>Programación</x:v>
      </x:c>
      <x:c r="D6" s="89" t="str">
        <x:v>Como responsable de laboratorio, quiero programar fecha, hora y laboratorio de cada práctica, para anticipar la preparación de materiales.</x:v>
      </x:c>
      <x:c r="E6" s="89" t="str">
        <x:v>Responsable de laboratorio</x:v>
      </x:c>
      <x:c r="F6" s="96" t="n">
        <x:v>5</x:v>
      </x:c>
      <x:c r="G6" s="96" t="n">
        <x:v>5</x:v>
      </x:c>
      <x:c r="H6" s="96" t="str">
        <x:v>P0</x:v>
      </x:c>
      <x:c r="I6" s="89" t="str">
        <x:v>Es el disparador operativo de disponibilidad y L-3.</x:v>
      </x:c>
      <x:c r="J6" s="89" t="str">
        <x:v>HU-UTEN-001; códigos de laboratorio normalizados.</x:v>
      </x:c>
      <x:c r="K6" s="89" t="str">
        <x:v>No admite horario inválido; muestra resumen de práctica y conserva el responsable.</x:v>
      </x:c>
      <x:c r="L6" s="89" t="str">
        <x:v>Planificación</x:v>
      </x:c>
      <x:c r="M6" s="89" t="str">
        <x:v>Confirmado por conversación</x:v>
      </x:c>
      <x:c r="N6" s="96" t="n">
        <x:v>5</x:v>
      </x:c>
      <x:c r="O6" s="96" t="str">
        <x:v>Sprint 1</x:v>
      </x:c>
      <x:c r="P6" s="97" t="n">
        <x:f>F6*3+G6*2+IF(H6="P0",10,IF(H6="P1",5,0))</x:f>
        <x:v>35</x:v>
      </x:c>
    </x:row>
    <x:row r="7" ht="58" customHeight="1">
      <x:c r="A7" s="96" t="n">
        <x:v>3</x:v>
      </x:c>
      <x:c r="B7" s="89" t="str">
        <x:v>HU-UTEN-003</x:v>
      </x:c>
      <x:c r="C7" s="89" t="str">
        <x:v>Requerimientos</x:v>
      </x:c>
      <x:c r="D7" s="89" t="str">
        <x:v>Como docente, quiero definir utensilios y cantidades por práctica, para asegurar que cada grupo reciba lo necesario.</x:v>
      </x:c>
      <x:c r="E7" s="89" t="str">
        <x:v>Docente</x:v>
      </x:c>
      <x:c r="F7" s="96" t="n">
        <x:v>5</x:v>
      </x:c>
      <x:c r="G7" s="96" t="n">
        <x:v>5</x:v>
      </x:c>
      <x:c r="H7" s="96" t="str">
        <x:v>P0</x:v>
      </x:c>
      <x:c r="I7" s="89" t="str">
        <x:v>Representa la demanda real de cada práctica.</x:v>
      </x:c>
      <x:c r="J7" s="89" t="str">
        <x:v>HU-UTEN-002; clasificación de catálogos confirmada.</x:v>
      </x:c>
      <x:c r="K7" s="89" t="str">
        <x:v>Cada requerimiento referencia un catálogo válido, cantidad positiva y regla de uso.</x:v>
      </x:c>
      <x:c r="L7" s="89" t="str">
        <x:v>Requerimientos</x:v>
      </x:c>
      <x:c r="M7" s="89" t="str">
        <x:v>Confirmado por conversación</x:v>
      </x:c>
      <x:c r="N7" s="96" t="n">
        <x:v>8</x:v>
      </x:c>
      <x:c r="O7" s="96" t="str">
        <x:v>Sprint 1</x:v>
      </x:c>
      <x:c r="P7" s="97" t="n">
        <x:f>F7*3+G7*2+IF(H7="P0",10,IF(H7="P1",5,0))</x:f>
        <x:v>35</x:v>
      </x:c>
    </x:row>
    <x:row r="8" ht="58" customHeight="1">
      <x:c r="A8" s="96" t="n">
        <x:v>4</x:v>
      </x:c>
      <x:c r="B8" s="89" t="str">
        <x:v>HU-UTEN-004</x:v>
      </x:c>
      <x:c r="C8" s="89" t="str">
        <x:v>Disponibilidad</x:v>
      </x:c>
      <x:c r="D8" s="89" t="str">
        <x:v>Como responsable de laboratorio, quiero consultar disponibilidad por fecha y hora, para evitar asignar la misma unidad a prácticas superpuestas.</x:v>
      </x:c>
      <x:c r="E8" s="89" t="str">
        <x:v>Responsable de laboratorio</x:v>
      </x:c>
      <x:c r="F8" s="96" t="n">
        <x:v>5</x:v>
      </x:c>
      <x:c r="G8" s="96" t="n">
        <x:v>5</x:v>
      </x:c>
      <x:c r="H8" s="96" t="str">
        <x:v>P0</x:v>
      </x:c>
      <x:c r="I8" s="89" t="str">
        <x:v>Previene conflictos operativos y pérdida de trazabilidad.</x:v>
      </x:c>
      <x:c r="J8" s="89" t="str">
        <x:v>HU-UTEN-003; unidades físicas y estados normalizados.</x:v>
      </x:c>
      <x:c r="K8" s="89" t="str">
        <x:v>Calcula requerido, libre, reservado, mantenimiento y préstamo para el intervalo.</x:v>
      </x:c>
      <x:c r="L8" s="89" t="str">
        <x:v>Disponibilidad</x:v>
      </x:c>
      <x:c r="M8" s="89" t="str">
        <x:v>Confirmado por conversación</x:v>
      </x:c>
      <x:c r="N8" s="96" t="n">
        <x:v>8</x:v>
      </x:c>
      <x:c r="O8" s="96" t="str">
        <x:v>Sprint 1</x:v>
      </x:c>
      <x:c r="P8" s="97" t="n">
        <x:f>F8*3+G8*2+IF(H8="P0",10,IF(H8="P1",5,0))</x:f>
        <x:v>35</x:v>
      </x:c>
    </x:row>
    <x:row r="9" ht="58" customHeight="1">
      <x:c r="A9" s="96" t="n">
        <x:v>5</x:v>
      </x:c>
      <x:c r="B9" s="89" t="str">
        <x:v>HU-UTEN-005</x:v>
      </x:c>
      <x:c r="C9" s="89" t="str">
        <x:v>Disponibilidad</x:v>
      </x:c>
      <x:c r="D9" s="89" t="str">
        <x:v>Como responsable de laboratorio, quiero recibir alertas de faltantes y solapamientos, para resolverlos antes del día de la práctica.</x:v>
      </x:c>
      <x:c r="E9" s="89" t="str">
        <x:v>Responsable de laboratorio</x:v>
      </x:c>
      <x:c r="F9" s="96" t="n">
        <x:v>5</x:v>
      </x:c>
      <x:c r="G9" s="96" t="n">
        <x:v>5</x:v>
      </x:c>
      <x:c r="H9" s="96" t="str">
        <x:v>P0</x:v>
      </x:c>
      <x:c r="I9" s="89" t="str">
        <x:v>Evita que una práctica comience sin material suficiente.</x:v>
      </x:c>
      <x:c r="J9" s="89" t="str">
        <x:v>HU-UTEN-004.</x:v>
      </x:c>
      <x:c r="K9" s="89" t="str">
        <x:v>El sistema bloquea la aprobación mientras exista una brecha no aceptada y explica su causa.</x:v>
      </x:c>
      <x:c r="L9" s="89" t="str">
        <x:v>Resumen / Disponibilidad</x:v>
      </x:c>
      <x:c r="M9" s="89" t="str">
        <x:v>Confirmado por conversación</x:v>
      </x:c>
      <x:c r="N9" s="96" t="n">
        <x:v>5</x:v>
      </x:c>
      <x:c r="O9" s="96" t="str">
        <x:v>Sprint 1</x:v>
      </x:c>
      <x:c r="P9" s="97" t="n">
        <x:f>F9*3+G9*2+IF(H9="P0",10,IF(H9="P1",5,0))</x:f>
        <x:v>35</x:v>
      </x:c>
    </x:row>
    <x:row r="10" ht="58" customHeight="1">
      <x:c r="A10" s="96" t="n">
        <x:v>6</x:v>
      </x:c>
      <x:c r="B10" s="89" t="str">
        <x:v>HU-UTEN-006</x:v>
      </x:c>
      <x:c r="C10" s="89" t="str">
        <x:v>Reservas</x:v>
      </x:c>
      <x:c r="D10" s="89" t="str">
        <x:v>Como responsable de laboratorio, quiero aprobar una reserva de utensilios, para incorporarla a la cola semanal de preparación.</x:v>
      </x:c>
      <x:c r="E10" s="89" t="str">
        <x:v>Responsable de laboratorio</x:v>
      </x:c>
      <x:c r="F10" s="96" t="n">
        <x:v>5</x:v>
      </x:c>
      <x:c r="G10" s="96" t="n">
        <x:v>5</x:v>
      </x:c>
      <x:c r="H10" s="96" t="str">
        <x:v>P0</x:v>
      </x:c>
      <x:c r="I10" s="89" t="str">
        <x:v>Conecta planificación con la operación física.</x:v>
      </x:c>
      <x:c r="J10" s="89" t="str">
        <x:v>HU-UTEN-004 y HU-UTEN-005.</x:v>
      </x:c>
      <x:c r="K10" s="89" t="str">
        <x:v>La aprobación es transaccional, auditable e impide doble reserva.</x:v>
      </x:c>
      <x:c r="L10" s="89" t="str">
        <x:v>Disponibilidad</x:v>
      </x:c>
      <x:c r="M10" s="89" t="str">
        <x:v>Hipótesis funcional</x:v>
      </x:c>
      <x:c r="N10" s="96" t="n">
        <x:v>8</x:v>
      </x:c>
      <x:c r="O10" s="96" t="str">
        <x:v>Sprint 2</x:v>
      </x:c>
      <x:c r="P10" s="97" t="n">
        <x:f>F10*3+G10*2+IF(H10="P0",10,IF(H10="P1",5,0))</x:f>
        <x:v>35</x:v>
      </x:c>
    </x:row>
    <x:row r="11" ht="58" customHeight="1">
      <x:c r="A11" s="96" t="n">
        <x:v>7</x:v>
      </x:c>
      <x:c r="B11" s="89" t="str">
        <x:v>HU-UTEN-007</x:v>
      </x:c>
      <x:c r="C11" s="89" t="str">
        <x:v>Préstamos internos</x:v>
      </x:c>
      <x:c r="D11" s="89" t="str">
        <x:v>Como responsable de laboratorio, quiero solicitar utensilios disponibles de otro laboratorio, para cubrir una brecha sin comprar de inmediato.</x:v>
      </x:c>
      <x:c r="E11" s="89" t="str">
        <x:v>Responsable de laboratorio</x:v>
      </x:c>
      <x:c r="F11" s="96" t="n">
        <x:v>4</x:v>
      </x:c>
      <x:c r="G11" s="96" t="n">
        <x:v>5</x:v>
      </x:c>
      <x:c r="H11" s="96" t="str">
        <x:v>P0</x:v>
      </x:c>
      <x:c r="I11" s="89" t="str">
        <x:v>Resuelve faltantes con inventario institucional existente.</x:v>
      </x:c>
      <x:c r="J11" s="89" t="str">
        <x:v>HU-UTEN-004; laboratorios y custodios confirmados.</x:v>
      </x:c>
      <x:c r="K11" s="89" t="str">
        <x:v>Registra origen, destino, responsable, fechas y aceptación del laboratorio prestador.</x:v>
      </x:c>
      <x:c r="L11" s="89" t="str">
        <x:v>Disponibilidad</x:v>
      </x:c>
      <x:c r="M11" s="89" t="str">
        <x:v>Confirmado por conversación</x:v>
      </x:c>
      <x:c r="N11" s="96" t="n">
        <x:v>8</x:v>
      </x:c>
      <x:c r="O11" s="96" t="str">
        <x:v>Sprint 2</x:v>
      </x:c>
      <x:c r="P11" s="97" t="n">
        <x:f>F11*3+G11*2+IF(H11="P0",10,IF(H11="P1",5,0))</x:f>
        <x:v>32</x:v>
      </x:c>
    </x:row>
    <x:row r="12" ht="58" customHeight="1">
      <x:c r="A12" s="96" t="n">
        <x:v>8</x:v>
      </x:c>
      <x:c r="B12" s="89" t="str">
        <x:v>HU-UTEN-008</x:v>
      </x:c>
      <x:c r="C12" s="89" t="str">
        <x:v>Operación L-3</x:v>
      </x:c>
      <x:c r="D12" s="89" t="str">
        <x:v>Como técnico, quiero ver la cola semanal de prácticas aprobadas, para preparar los lotes en orden de fecha y urgencia.</x:v>
      </x:c>
      <x:c r="E12" s="89" t="str">
        <x:v>Técnico</x:v>
      </x:c>
      <x:c r="F12" s="96" t="n">
        <x:v>5</x:v>
      </x:c>
      <x:c r="G12" s="96" t="n">
        <x:v>5</x:v>
      </x:c>
      <x:c r="H12" s="96" t="str">
        <x:v>P0</x:v>
      </x:c>
      <x:c r="I12" s="89" t="str">
        <x:v>Da una carga de trabajo accionable al laboratorio.</x:v>
      </x:c>
      <x:c r="J12" s="89" t="str">
        <x:v>HU-UTEN-006.</x:v>
      </x:c>
      <x:c r="K12" s="89" t="str">
        <x:v>Lista prácticas aprobadas, fecha límite, laboratorio, cantidades y alertas pendientes.</x:v>
      </x:c>
      <x:c r="L12" s="89" t="str">
        <x:v>Resumen / L-3</x:v>
      </x:c>
      <x:c r="M12" s="89" t="str">
        <x:v>Confirmado por conversación</x:v>
      </x:c>
      <x:c r="N12" s="96" t="n">
        <x:v>5</x:v>
      </x:c>
      <x:c r="O12" s="96" t="str">
        <x:v>Sprint 2</x:v>
      </x:c>
      <x:c r="P12" s="97" t="n">
        <x:f>F12*3+G12*2+IF(H12="P0",10,IF(H12="P1",5,0))</x:f>
        <x:v>35</x:v>
      </x:c>
    </x:row>
    <x:row r="13" ht="58" customHeight="1">
      <x:c r="A13" s="96" t="n">
        <x:v>9</x:v>
      </x:c>
      <x:c r="B13" s="89" t="str">
        <x:v>HU-UTEN-009</x:v>
      </x:c>
      <x:c r="C13" s="89" t="str">
        <x:v>Operación L-3</x:v>
      </x:c>
      <x:c r="D13" s="89" t="str">
        <x:v>Como técnico, quiero confirmar los utensilios preparados, para documentar diferencias antes de la entrega.</x:v>
      </x:c>
      <x:c r="E13" s="89" t="str">
        <x:v>Técnico</x:v>
      </x:c>
      <x:c r="F13" s="96" t="n">
        <x:v>5</x:v>
      </x:c>
      <x:c r="G13" s="96" t="n">
        <x:v>5</x:v>
      </x:c>
      <x:c r="H13" s="96" t="str">
        <x:v>P0</x:v>
      </x:c>
      <x:c r="I13" s="89" t="str">
        <x:v>Evita entregar cantidades o unidades distintas a las reservadas.</x:v>
      </x:c>
      <x:c r="J13" s="89" t="str">
        <x:v>HU-UTEN-008.</x:v>
      </x:c>
      <x:c r="K13" s="89" t="str">
        <x:v>Permite marcar preparado por ítem, registrar sustituciones autorizadas y dejar evidencia.</x:v>
      </x:c>
      <x:c r="L13" s="89" t="str">
        <x:v>L-3 y devolución</x:v>
      </x:c>
      <x:c r="M13" s="89" t="str">
        <x:v>Hipótesis funcional</x:v>
      </x:c>
      <x:c r="N13" s="96" t="n">
        <x:v>5</x:v>
      </x:c>
      <x:c r="O13" s="96" t="str">
        <x:v>Sprint 2</x:v>
      </x:c>
      <x:c r="P13" s="97" t="n">
        <x:f>F13*3+G13*2+IF(H13="P0",10,IF(H13="P1",5,0))</x:f>
        <x:v>35</x:v>
      </x:c>
    </x:row>
    <x:row r="14" ht="58" customHeight="1">
      <x:c r="A14" s="96" t="n">
        <x:v>10</x:v>
      </x:c>
      <x:c r="B14" s="89" t="str">
        <x:v>HU-UTEN-010</x:v>
      </x:c>
      <x:c r="C14" s="89" t="str">
        <x:v>Operación L-3</x:v>
      </x:c>
      <x:c r="D14" s="89" t="str">
        <x:v>Como técnico, quiero generar y confirmar la entrega L-3, para vincular la salida con práctica, docente, grupo y unidades.</x:v>
      </x:c>
      <x:c r="E14" s="89" t="str">
        <x:v>Técnico</x:v>
      </x:c>
      <x:c r="F14" s="96" t="n">
        <x:v>5</x:v>
      </x:c>
      <x:c r="G14" s="96" t="n">
        <x:v>5</x:v>
      </x:c>
      <x:c r="H14" s="96" t="str">
        <x:v>P0</x:v>
      </x:c>
      <x:c r="I14" s="89" t="str">
        <x:v>Formaliza la custodia durante la práctica.</x:v>
      </x:c>
      <x:c r="J14" s="89" t="str">
        <x:v>HU-UTEN-009; contrato L-3 normalizado.</x:v>
      </x:c>
      <x:c r="K14" s="89" t="str">
        <x:v>Genera código único, detalle por ítem y constancia de recepción sin duplicados.</x:v>
      </x:c>
      <x:c r="L14" s="89" t="str">
        <x:v>L-3 y devolución</x:v>
      </x:c>
      <x:c r="M14" s="89" t="str">
        <x:v>Confirmado por conversación</x:v>
      </x:c>
      <x:c r="N14" s="96" t="n">
        <x:v>8</x:v>
      </x:c>
      <x:c r="O14" s="96" t="str">
        <x:v>Sprint 2</x:v>
      </x:c>
      <x:c r="P14" s="97" t="n">
        <x:f>F14*3+G14*2+IF(H14="P0",10,IF(H14="P1",5,0))</x:f>
        <x:v>35</x:v>
      </x:c>
    </x:row>
    <x:row r="15" ht="58" customHeight="1">
      <x:c r="A15" s="96" t="n">
        <x:v>11</x:v>
      </x:c>
      <x:c r="B15" s="89" t="str">
        <x:v>HU-UTEN-011</x:v>
      </x:c>
      <x:c r="C15" s="89" t="str">
        <x:v>Devolución</x:v>
      </x:c>
      <x:c r="D15" s="89" t="str">
        <x:v>Como técnico, quiero registrar cantidades y condición devueltas, para cerrar el préstamo o abrir una novedad.</x:v>
      </x:c>
      <x:c r="E15" s="89" t="str">
        <x:v>Técnico</x:v>
      </x:c>
      <x:c r="F15" s="96" t="n">
        <x:v>5</x:v>
      </x:c>
      <x:c r="G15" s="96" t="n">
        <x:v>5</x:v>
      </x:c>
      <x:c r="H15" s="96" t="str">
        <x:v>P0</x:v>
      </x:c>
      <x:c r="I15" s="89" t="str">
        <x:v>Protege el inventario y alimenta el historial.</x:v>
      </x:c>
      <x:c r="J15" s="89" t="str">
        <x:v>HU-UTEN-010.</x:v>
      </x:c>
      <x:c r="K15" s="89" t="str">
        <x:v>Compara entregado versus devuelto y no cierra si existe diferencia sin tratamiento.</x:v>
      </x:c>
      <x:c r="L15" s="89" t="str">
        <x:v>L-3 y devolución</x:v>
      </x:c>
      <x:c r="M15" s="89" t="str">
        <x:v>Confirmado por conversación</x:v>
      </x:c>
      <x:c r="N15" s="96" t="n">
        <x:v>8</x:v>
      </x:c>
      <x:c r="O15" s="96" t="str">
        <x:v>Sprint 2</x:v>
      </x:c>
      <x:c r="P15" s="97" t="n">
        <x:f>F15*3+G15*2+IF(H15="P0",10,IF(H15="P1",5,0))</x:f>
        <x:v>35</x:v>
      </x:c>
    </x:row>
    <x:row r="16" ht="58" customHeight="1">
      <x:c r="A16" s="96" t="n">
        <x:v>12</x:v>
      </x:c>
      <x:c r="B16" s="89" t="str">
        <x:v>HU-UTEN-012</x:v>
      </x:c>
      <x:c r="C16" s="89" t="str">
        <x:v>Incidentes L-5</x:v>
      </x:c>
      <x:c r="D16" s="89" t="str">
        <x:v>Como técnico, quiero registrar daño, pérdida o faltante con evidencia, para iniciar el tratamiento L-5 sin borrar el historial.</x:v>
      </x:c>
      <x:c r="E16" s="89" t="str">
        <x:v>Técnico</x:v>
      </x:c>
      <x:c r="F16" s="96" t="n">
        <x:v>5</x:v>
      </x:c>
      <x:c r="G16" s="96" t="n">
        <x:v>5</x:v>
      </x:c>
      <x:c r="H16" s="96" t="str">
        <x:v>P0</x:v>
      </x:c>
      <x:c r="I16" s="89" t="str">
        <x:v>Resuelve excepciones patrimoniales y de responsabilidad.</x:v>
      </x:c>
      <x:c r="J16" s="89" t="str">
        <x:v>HU-UTEN-011; definición institucional de L-5.</x:v>
      </x:c>
      <x:c r="K16" s="89" t="str">
        <x:v>Vincula L-3, práctica, ítem, evidencia y estado; responsabilidad inicial puede quedar por investigar.</x:v>
      </x:c>
      <x:c r="L16" s="89" t="str">
        <x:v>Incidentes L-5</x:v>
      </x:c>
      <x:c r="M16" s="89" t="str">
        <x:v>Confirmado por conversación</x:v>
      </x:c>
      <x:c r="N16" s="96" t="n">
        <x:v>8</x:v>
      </x:c>
      <x:c r="O16" s="96" t="str">
        <x:v>Sprint 3</x:v>
      </x:c>
      <x:c r="P16" s="97" t="n">
        <x:f>F16*3+G16*2+IF(H16="P0",10,IF(H16="P1",5,0))</x:f>
        <x:v>35</x:v>
      </x:c>
    </x:row>
    <x:row r="17" ht="58" customHeight="1">
      <x:c r="A17" s="96" t="n">
        <x:v>13</x:v>
      </x:c>
      <x:c r="B17" s="89" t="str">
        <x:v>HU-UTEN-013</x:v>
      </x:c>
      <x:c r="C17" s="89" t="str">
        <x:v>Gobierno de datos</x:v>
      </x:c>
      <x:c r="D17" s="89" t="str">
        <x:v>Como responsable de inventario, quiero bloquear catálogos pendientes o unidades no operativas, para evitar reservas sobre datos no confiables.</x:v>
      </x:c>
      <x:c r="E17" s="89" t="str">
        <x:v>Responsable de inventario</x:v>
      </x:c>
      <x:c r="F17" s="96" t="n">
        <x:v>5</x:v>
      </x:c>
      <x:c r="G17" s="96" t="n">
        <x:v>5</x:v>
      </x:c>
      <x:c r="H17" s="96" t="str">
        <x:v>P0</x:v>
      </x:c>
      <x:c r="I17" s="89" t="str">
        <x:v>Alinea el módulo con MOD-CLAS-001 y la normalización V2.</x:v>
      </x:c>
      <x:c r="J17" s="89" t="str">
        <x:v>Clasificación de 107 catálogos y unidades físicas conciliadas.</x:v>
      </x:c>
      <x:c r="K17" s="89" t="str">
        <x:v>Pendientes siguen visibles en historial, pero no son seleccionables en nuevas prácticas.</x:v>
      </x:c>
      <x:c r="L17" s="89" t="str">
        <x:v>Disponibilidad</x:v>
      </x:c>
      <x:c r="M17" s="89" t="str">
        <x:v>Dependencia de Datos</x:v>
      </x:c>
      <x:c r="N17" s="96" t="n">
        <x:v>5</x:v>
      </x:c>
      <x:c r="O17" s="96" t="str">
        <x:v>Sprint 1</x:v>
      </x:c>
      <x:c r="P17" s="97" t="n">
        <x:f>F17*3+G17*2+IF(H17="P0",10,IF(H17="P1",5,0))</x:f>
        <x:v>35</x:v>
      </x:c>
    </x:row>
    <x:row r="18" ht="58" customHeight="1">
      <x:c r="A18" s="96" t="n">
        <x:v>14</x:v>
      </x:c>
      <x:c r="B18" s="89" t="str">
        <x:v>HU-UTEN-014</x:v>
      </x:c>
      <x:c r="C18" s="89" t="str">
        <x:v>Trazabilidad</x:v>
      </x:c>
      <x:c r="D18" s="89" t="str">
        <x:v>Como auditor, quiero consultar el historial completo de una práctica, para reconstruir reserva, entrega, devolución e incidentes.</x:v>
      </x:c>
      <x:c r="E18" s="89" t="str">
        <x:v>Auditor</x:v>
      </x:c>
      <x:c r="F18" s="96" t="n">
        <x:v>4</x:v>
      </x:c>
      <x:c r="G18" s="96" t="n">
        <x:v>4</x:v>
      </x:c>
      <x:c r="H18" s="96" t="str">
        <x:v>P1</x:v>
      </x:c>
      <x:c r="I18" s="89" t="str">
        <x:v>Permite control institucional y rendición de cuentas.</x:v>
      </x:c>
      <x:c r="J18" s="89" t="str">
        <x:v>HU-UTEN-006 a HU-UTEN-012.</x:v>
      </x:c>
      <x:c r="K18" s="89" t="str">
        <x:v>Muestra línea temporal, usuarios, fechas, cambios y documentos relacionados.</x:v>
      </x:c>
      <x:c r="L18" s="89" t="str">
        <x:v>L-3 y devolución</x:v>
      </x:c>
      <x:c r="M18" s="89" t="str">
        <x:v>Hipótesis funcional</x:v>
      </x:c>
      <x:c r="N18" s="96" t="n">
        <x:v>8</x:v>
      </x:c>
      <x:c r="O18" s="96" t="str">
        <x:v>Sprint 3</x:v>
      </x:c>
      <x:c r="P18" s="97" t="n">
        <x:f>F18*3+G18*2+IF(H18="P0",10,IF(H18="P1",5,0))</x:f>
        <x:v>25</x:v>
      </x:c>
    </x:row>
    <x:row r="19" ht="58" customHeight="1">
      <x:c r="A19" s="96" t="n">
        <x:v>15</x:v>
      </x:c>
      <x:c r="B19" s="89" t="str">
        <x:v>HU-UTEN-015</x:v>
      </x:c>
      <x:c r="C19" s="89" t="str">
        <x:v>Notificaciones</x:v>
      </x:c>
      <x:c r="D19" s="89" t="str">
        <x:v>Como técnico, quiero recibir avisos de preparación y devoluciones próximas, para atender el trabajo a tiempo.</x:v>
      </x:c>
      <x:c r="E19" s="89" t="str">
        <x:v>Técnico</x:v>
      </x:c>
      <x:c r="F19" s="96" t="n">
        <x:v>4</x:v>
      </x:c>
      <x:c r="G19" s="96" t="n">
        <x:v>4</x:v>
      </x:c>
      <x:c r="H19" s="96" t="str">
        <x:v>P1</x:v>
      </x:c>
      <x:c r="I19" s="89" t="str">
        <x:v>Reduce atrasos operativos.</x:v>
      </x:c>
      <x:c r="J19" s="89" t="str">
        <x:v>HU-UTEN-008; política de notificaciones.</x:v>
      </x:c>
      <x:c r="K19" s="89" t="str">
        <x:v>Los avisos se generan por eventos y no se duplican para el mismo vencimiento.</x:v>
      </x:c>
      <x:c r="L19" s="89" t="str">
        <x:v>Resumen</x:v>
      </x:c>
      <x:c r="M19" s="89" t="str">
        <x:v>Hipótesis funcional</x:v>
      </x:c>
      <x:c r="N19" s="96" t="n">
        <x:v>5</x:v>
      </x:c>
      <x:c r="O19" s="96" t="str">
        <x:v>Sprint 3</x:v>
      </x:c>
      <x:c r="P19" s="97" t="n">
        <x:f>F19*3+G19*2+IF(H19="P0",10,IF(H19="P1",5,0))</x:f>
        <x:v>25</x:v>
      </x:c>
    </x:row>
    <x:row r="20" ht="58" customHeight="1">
      <x:c r="A20" s="96" t="n">
        <x:v>16</x:v>
      </x:c>
      <x:c r="B20" s="89" t="str">
        <x:v>HU-UTEN-016</x:v>
      </x:c>
      <x:c r="C20" s="89" t="str">
        <x:v>Supervisión</x:v>
      </x:c>
      <x:c r="D20" s="89" t="str">
        <x:v>Como coordinador, quiero un tablero semanal de prácticas, brechas y devoluciones, para priorizar decisiones.</x:v>
      </x:c>
      <x:c r="E20" s="89" t="str">
        <x:v>Coordinador</x:v>
      </x:c>
      <x:c r="F20" s="96" t="n">
        <x:v>4</x:v>
      </x:c>
      <x:c r="G20" s="96" t="n">
        <x:v>4</x:v>
      </x:c>
      <x:c r="H20" s="96" t="str">
        <x:v>P1</x:v>
      </x:c>
      <x:c r="I20" s="89" t="str">
        <x:v>Resume la operación y deuda pendiente.</x:v>
      </x:c>
      <x:c r="J20" s="89" t="str">
        <x:v>Historias operativas anteriores.</x:v>
      </x:c>
      <x:c r="K20" s="89" t="str">
        <x:v>Separa listo, conflicto, préstamo, pendiente y cerrado con filtros por laboratorio.</x:v>
      </x:c>
      <x:c r="L20" s="89" t="str">
        <x:v>Resumen</x:v>
      </x:c>
      <x:c r="M20" s="89" t="str">
        <x:v>Confirmado por conversación</x:v>
      </x:c>
      <x:c r="N20" s="96" t="n">
        <x:v>5</x:v>
      </x:c>
      <x:c r="O20" s="96" t="str">
        <x:v>Sprint 3</x:v>
      </x:c>
      <x:c r="P20" s="97" t="n">
        <x:f>F20*3+G20*2+IF(H20="P0",10,IF(H20="P1",5,0))</x:f>
        <x:v>25</x:v>
      </x:c>
    </x:row>
    <x:row r="21" ht="58" customHeight="1">
      <x:c r="A21" s="96" t="n">
        <x:v>17</x:v>
      </x:c>
      <x:c r="B21" s="89" t="str">
        <x:v>HU-UTEN-017</x:v>
      </x:c>
      <x:c r="C21" s="89" t="str">
        <x:v>Demanda</x:v>
      </x:c>
      <x:c r="D21" s="89" t="str">
        <x:v>Como responsable de inventario, quiero comparar demanda pico y disponibilidad, para identificar brechas recurrentes.</x:v>
      </x:c>
      <x:c r="E21" s="89" t="str">
        <x:v>Responsable de inventario</x:v>
      </x:c>
      <x:c r="F21" s="96" t="n">
        <x:v>4</x:v>
      </x:c>
      <x:c r="G21" s="96" t="n">
        <x:v>3</x:v>
      </x:c>
      <x:c r="H21" s="96" t="str">
        <x:v>P1</x:v>
      </x:c>
      <x:c r="I21" s="89" t="str">
        <x:v>Convierte la operación en evidencia para planificar compras.</x:v>
      </x:c>
      <x:c r="J21" s="89" t="str">
        <x:v>Datos de al menos una gestión y estados confiables.</x:v>
      </x:c>
      <x:c r="K21" s="89" t="str">
        <x:v>Calcula demanda, disponibilidad, brecha y prácticas afectadas sin contar pendientes como confirmados.</x:v>
      </x:c>
      <x:c r="L21" s="89" t="str">
        <x:v>Demanda</x:v>
      </x:c>
      <x:c r="M21" s="89" t="str">
        <x:v>Confirmado por conversación</x:v>
      </x:c>
      <x:c r="N21" s="96" t="n">
        <x:v>8</x:v>
      </x:c>
      <x:c r="O21" s="96" t="str">
        <x:v>Sprint 4</x:v>
      </x:c>
      <x:c r="P21" s="97" t="n">
        <x:f>F21*3+G21*2+IF(H21="P0",10,IF(H21="P1",5,0))</x:f>
        <x:v>23</x:v>
      </x:c>
    </x:row>
    <x:row r="22" ht="58" customHeight="1">
      <x:c r="A22" s="96" t="n">
        <x:v>18</x:v>
      </x:c>
      <x:c r="B22" s="89" t="str">
        <x:v>HU-UTEN-018</x:v>
      </x:c>
      <x:c r="C22" s="89" t="str">
        <x:v>Adquisiciones</x:v>
      </x:c>
      <x:c r="D22" s="89" t="str">
        <x:v>Como responsable de inventario, quiero preparar una propuesta de compra basada en brechas, para sustentar la adquisición institucional.</x:v>
      </x:c>
      <x:c r="E22" s="89" t="str">
        <x:v>Responsable de inventario</x:v>
      </x:c>
      <x:c r="F22" s="96" t="n">
        <x:v>3</x:v>
      </x:c>
      <x:c r="G22" s="96" t="n">
        <x:v>3</x:v>
      </x:c>
      <x:c r="H22" s="96" t="str">
        <x:v>P2</x:v>
      </x:c>
      <x:c r="I22" s="89" t="str">
        <x:v>Aporta valor futuro, pero depende de datos históricos suficientes.</x:v>
      </x:c>
      <x:c r="J22" s="89" t="str">
        <x:v>HU-UTEN-017; flujo L-12 por validar.</x:v>
      </x:c>
      <x:c r="K22" s="89" t="str">
        <x:v>La propuesta es revisable, conserva método de cálculo y nunca crea una compra automáticamente.</x:v>
      </x:c>
      <x:c r="L22" s="89" t="str">
        <x:v>Demanda</x:v>
      </x:c>
      <x:c r="M22" s="89" t="str">
        <x:v>Hipótesis funcional</x:v>
      </x:c>
      <x:c r="N22" s="96" t="n">
        <x:v>8</x:v>
      </x:c>
      <x:c r="O22" s="96" t="str">
        <x:v>Sprint 4</x:v>
      </x:c>
      <x:c r="P22" s="97" t="n">
        <x:f>F22*3+G22*2+IF(H22="P0",10,IF(H22="P1",5,0))</x:f>
        <x:v>15</x:v>
      </x:c>
    </x:row>
    <x:row r="23" ht="58" customHeight="1">
      <x:c r="A23" s="96" t="n">
        <x:v>19</x:v>
      </x:c>
      <x:c r="B23" s="89" t="str">
        <x:v>HU-UTEN-019</x:v>
      </x:c>
      <x:c r="C23" s="89" t="str">
        <x:v>Evidencia visual</x:v>
      </x:c>
      <x:c r="D23" s="89" t="str">
        <x:v>Como técnico, quiero ver imagen y especificación del utensilio, para reducir errores de preparación.</x:v>
      </x:c>
      <x:c r="E23" s="89" t="str">
        <x:v>Técnico</x:v>
      </x:c>
      <x:c r="F23" s="96" t="n">
        <x:v>3</x:v>
      </x:c>
      <x:c r="G23" s="96" t="n">
        <x:v>2</x:v>
      </x:c>
      <x:c r="H23" s="96" t="str">
        <x:v>P2</x:v>
      </x:c>
      <x:c r="I23" s="89" t="str">
        <x:v>Mejora identificación, no bloquea el flujo básico.</x:v>
      </x:c>
      <x:c r="J23" s="89" t="str">
        <x:v>Imágenes de catálogo y política de almacenamiento.</x:v>
      </x:c>
      <x:c r="K23" s="89" t="str">
        <x:v>La imagen pertenece al catálogo; la unidad conserva inventario y serie.</x:v>
      </x:c>
      <x:c r="L23" s="89" t="str">
        <x:v>Requerimientos</x:v>
      </x:c>
      <x:c r="M23" s="89" t="str">
        <x:v>Confirmado por conversación</x:v>
      </x:c>
      <x:c r="N23" s="96" t="n">
        <x:v>5</x:v>
      </x:c>
      <x:c r="O23" s="96" t="str">
        <x:v>Sprint 4</x:v>
      </x:c>
      <x:c r="P23" s="97" t="n">
        <x:f>F23*3+G23*2+IF(H23="P0",10,IF(H23="P1",5,0))</x:f>
        <x:v>13</x:v>
      </x:c>
    </x:row>
    <x:row r="24" ht="58" customHeight="1">
      <x:c r="A24" s="98" t="n">
        <x:v>20</x:v>
      </x:c>
      <x:c r="B24" s="90" t="str">
        <x:v>HU-UTEN-020</x:v>
      </x:c>
      <x:c r="C24" s="90" t="str">
        <x:v>Reportes</x:v>
      </x:c>
      <x:c r="D24" s="90" t="str">
        <x:v>Como coordinador, quiero exportar agenda, L-3 e indicadores, para compartir evidencia con responsables académicos.</x:v>
      </x:c>
      <x:c r="E24" s="90" t="str">
        <x:v>Coordinador</x:v>
      </x:c>
      <x:c r="F24" s="98" t="n">
        <x:v>3</x:v>
      </x:c>
      <x:c r="G24" s="98" t="n">
        <x:v>2</x:v>
      </x:c>
      <x:c r="H24" s="98" t="str">
        <x:v>P2</x:v>
      </x:c>
      <x:c r="I24" s="90" t="str">
        <x:v>Facilita comunicación y entrega documental.</x:v>
      </x:c>
      <x:c r="J24" s="90" t="str">
        <x:v>Formatos institucionales aprobados.</x:v>
      </x:c>
      <x:c r="K24" s="90" t="str">
        <x:v>PDF/Excel reproduce filtros, fecha de corte y códigos trazables.</x:v>
      </x:c>
      <x:c r="L24" s="90" t="str">
        <x:v>Resumen / L-3 / Demanda</x:v>
      </x:c>
      <x:c r="M24" s="90" t="str">
        <x:v>Hipótesis funcional</x:v>
      </x:c>
      <x:c r="N24" s="98" t="n">
        <x:v>5</x:v>
      </x:c>
      <x:c r="O24" s="98" t="str">
        <x:v>Sprint 4</x:v>
      </x:c>
      <x:c r="P24" s="99" t="n">
        <x:f>F24*3+G24*2+IF(H24="P0",10,IF(H24="P1",5,0))</x:f>
        <x:v>13</x:v>
      </x:c>
    </x:row>
  </x:sheetData>
  <x:mergeCells>
    <x:mergeCell ref="A1:P1"/>
    <x:mergeCell ref="A2:P2"/>
  </x:mergeCells>
  <x:conditionalFormatting sqref="H5:H24">
    <x:cfRule type="expression" dxfId="0" priority="1">
      <x:formula>H5="P0"</x:formula>
    </x:cfRule>
    <x:cfRule type="expression" dxfId="1" priority="2">
      <x:formula>H5="P1"</x:formula>
    </x:cfRule>
    <x:cfRule type="expression" dxfId="2" priority="3">
      <x:formula>H5="P2"</x:formula>
    </x:cfRule>
  </x:conditionalFormatting>
  <x:dataValidations count="3">
    <x:dataValidation type="list" sqref="H5:H24">
      <x:formula1>"P0,P1,P2"</x:formula1>
    </x:dataValidation>
    <x:dataValidation type="list" sqref="M5:M24">
      <x:formula1>"Confirmado por conversación,Hipótesis funcional,Dependencia de Datos"</x:formula1>
    </x:dataValidation>
    <x:dataValidation type="list" sqref="O5:O24">
      <x:formula1>"Sprint 1,Sprint 2,Sprint 3,Sprint 4,Backlog futuro"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998b656b3324d8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0" hidden="0" customWidth="1"/>
    <x:col min="3" max="3" width="42" hidden="0" customWidth="1"/>
    <x:col min="4" max="4" width="34" hidden="0" customWidth="1"/>
    <x:col min="5" max="5" width="58" hidden="0" customWidth="1"/>
    <x:col min="6" max="6" width="26" hidden="0" customWidth="1"/>
    <x:col min="7" max="7" width="22" hidden="0" customWidth="1"/>
  </x:cols>
  <x:sheetData>
    <x:row r="1" ht="34" customHeight="1">
      <x:c r="A1" s="75" t="str">
        <x:v>CRITERIOS DE ACEPTACIÓN Y PRUEBAS</x:v>
      </x:c>
      <x:c r="B1" s="75" t="str">
        <x:v>CRITERIOS DE ACEPTACIÓN Y PRUEBAS</x:v>
      </x:c>
      <x:c r="C1" s="75" t="str">
        <x:v>CRITERIOS DE ACEPTACIÓN Y PRUEBAS</x:v>
      </x:c>
      <x:c r="D1" s="75" t="str">
        <x:v>CRITERIOS DE ACEPTACIÓN Y PRUEBAS</x:v>
      </x:c>
      <x:c r="E1" s="75" t="str">
        <x:v>CRITERIOS DE ACEPTACIÓN Y PRUEBAS</x:v>
      </x:c>
      <x:c r="F1" s="75" t="str">
        <x:v>CRITERIOS DE ACEPTACIÓN Y PRUEBAS</x:v>
      </x:c>
      <x:c r="G1" s="75" t="str">
        <x:v>CRITERIOS DE ACEPTACIÓN Y PRUEBAS</x:v>
      </x:c>
    </x:row>
    <x:row r="2" ht="29" customHeight="1">
      <x:c r="A2" s="76" t="str">
        <x:v>Escenarios base en formato Dado/Cuando/Entonces, alineados con cada historia y pantalla</x:v>
      </x:c>
      <x:c r="B2" s="76" t="str">
        <x:v>Escenarios base en formato Dado/Cuando/Entonces, alineados con cada historia y pantalla</x:v>
      </x:c>
      <x:c r="C2" s="76" t="str">
        <x:v>Escenarios base en formato Dado/Cuando/Entonces, alineados con cada historia y pantalla</x:v>
      </x:c>
      <x:c r="D2" s="76" t="str">
        <x:v>Escenarios base en formato Dado/Cuando/Entonces, alineados con cada historia y pantalla</x:v>
      </x:c>
      <x:c r="E2" s="76" t="str">
        <x:v>Escenarios base en formato Dado/Cuando/Entonces, alineados con cada historia y pantalla</x:v>
      </x:c>
      <x:c r="F2" s="76" t="str">
        <x:v>Escenarios base en formato Dado/Cuando/Entonces, alineados con cada historia y pantalla</x:v>
      </x:c>
      <x:c r="G2" s="76" t="str">
        <x:v>Escenarios base en formato Dado/Cuando/Entonces, alineados con cada historia y pantalla</x:v>
      </x:c>
    </x:row>
    <x:row r="3">
      <x:c r="A3" s="77"/>
      <x:c r="B3" s="77"/>
      <x:c r="C3" s="77"/>
      <x:c r="D3" s="77"/>
      <x:c r="E3" s="77"/>
      <x:c r="F3" s="77"/>
      <x:c r="G3" s="77"/>
    </x:row>
    <x:row r="4" ht="32" customHeight="1">
      <x:c r="A4" s="85" t="str">
        <x:v>Historia</x:v>
      </x:c>
      <x:c r="B4" s="86" t="str">
        <x:v>Épica</x:v>
      </x:c>
      <x:c r="C4" s="86" t="str">
        <x:v>Dado</x:v>
      </x:c>
      <x:c r="D4" s="86" t="str">
        <x:v>Cuando</x:v>
      </x:c>
      <x:c r="E4" s="86" t="str">
        <x:v>Entonces</x:v>
      </x:c>
      <x:c r="F4" s="86" t="str">
        <x:v>Evidencia en prototipo</x:v>
      </x:c>
      <x:c r="G4" s="87" t="str">
        <x:v>Tipo de prueba</x:v>
      </x:c>
    </x:row>
    <x:row r="5" ht="54" customHeight="1">
      <x:c r="A5" s="88" t="str">
        <x:v>HU-UTEN-001</x:v>
      </x:c>
      <x:c r="B5" s="88" t="str">
        <x:v>Configuración académica</x:v>
      </x:c>
      <x:c r="C5" s="88" t="str">
        <x:v>Dado que existe una gestión activa y datos maestros válidos,</x:v>
      </x:c>
      <x:c r="D5" s="88" t="str">
        <x:v>cuando registra el plan semestral,</x:v>
      </x:c>
      <x:c r="E5" s="88" t="str">
        <x:v>entonces dado un semestre activo, al guardar datos obligatorios se crea un borrador único y auditable.</x:v>
      </x:c>
      <x:c r="F5" s="88" t="str">
        <x:v>Planificación</x:v>
      </x:c>
      <x:c r="G5" s="88" t="str">
        <x:v>Funcional + integración</x:v>
      </x:c>
    </x:row>
    <x:row r="6" ht="54" customHeight="1">
      <x:c r="A6" s="89" t="str">
        <x:v>HU-UTEN-002</x:v>
      </x:c>
      <x:c r="B6" s="89" t="str">
        <x:v>Programación</x:v>
      </x:c>
      <x:c r="C6" s="89" t="str">
        <x:v>Dado que la práctica tiene asignatura, grupo y responsable,</x:v>
      </x:c>
      <x:c r="D6" s="89" t="str">
        <x:v>cuando programa fecha, horario y laboratorio,</x:v>
      </x:c>
      <x:c r="E6" s="89" t="str">
        <x:v>entonces no admite horario inválido; muestra resumen de práctica y conserva el responsable.</x:v>
      </x:c>
      <x:c r="F6" s="89" t="str">
        <x:v>Planificación</x:v>
      </x:c>
      <x:c r="G6" s="89" t="str">
        <x:v>Funcional + integración</x:v>
      </x:c>
    </x:row>
    <x:row r="7" ht="54" customHeight="1">
      <x:c r="A7" s="89" t="str">
        <x:v>HU-UTEN-003</x:v>
      </x:c>
      <x:c r="B7" s="89" t="str">
        <x:v>Requerimientos</x:v>
      </x:c>
      <x:c r="C7" s="89" t="str">
        <x:v>Dado que existe una práctica programada,</x:v>
      </x:c>
      <x:c r="D7" s="89" t="str">
        <x:v>cuando agrega catálogo, cantidad y regla de uso,</x:v>
      </x:c>
      <x:c r="E7" s="89" t="str">
        <x:v>entonces cada requerimiento referencia un catálogo válido, cantidad positiva y regla de uso.</x:v>
      </x:c>
      <x:c r="F7" s="89" t="str">
        <x:v>Requerimientos</x:v>
      </x:c>
      <x:c r="G7" s="89" t="str">
        <x:v>Funcional + integración</x:v>
      </x:c>
    </x:row>
    <x:row r="8" ht="54" customHeight="1">
      <x:c r="A8" s="89" t="str">
        <x:v>HU-UTEN-004</x:v>
      </x:c>
      <x:c r="B8" s="89" t="str">
        <x:v>Disponibilidad</x:v>
      </x:c>
      <x:c r="C8" s="89" t="str">
        <x:v>Dado que hay inventario y reservas para el intervalo,</x:v>
      </x:c>
      <x:c r="D8" s="89" t="str">
        <x:v>cuando consulta disponibilidad,</x:v>
      </x:c>
      <x:c r="E8" s="89" t="str">
        <x:v>entonces calcula requerido, libre, reservado, mantenimiento y préstamo para el intervalo.</x:v>
      </x:c>
      <x:c r="F8" s="89" t="str">
        <x:v>Disponibilidad</x:v>
      </x:c>
      <x:c r="G8" s="89" t="str">
        <x:v>Funcional + integración</x:v>
      </x:c>
    </x:row>
    <x:row r="9" ht="54" customHeight="1">
      <x:c r="A9" s="89" t="str">
        <x:v>HU-UTEN-005</x:v>
      </x:c>
      <x:c r="B9" s="89" t="str">
        <x:v>Disponibilidad</x:v>
      </x:c>
      <x:c r="C9" s="89" t="str">
        <x:v>Dado que se detecta una brecha o solapamiento,</x:v>
      </x:c>
      <x:c r="D9" s="89" t="str">
        <x:v>cuando intenta aprobar la planificación,</x:v>
      </x:c>
      <x:c r="E9" s="89" t="str">
        <x:v>entonces el sistema bloquea la aprobación mientras exista una brecha no aceptada y explica su causa.</x:v>
      </x:c>
      <x:c r="F9" s="89" t="str">
        <x:v>Resumen / Disponibilidad</x:v>
      </x:c>
      <x:c r="G9" s="89" t="str">
        <x:v>Funcional + integración</x:v>
      </x:c>
    </x:row>
    <x:row r="10" ht="54" customHeight="1">
      <x:c r="A10" s="89" t="str">
        <x:v>HU-UTEN-006</x:v>
      </x:c>
      <x:c r="B10" s="89" t="str">
        <x:v>Reservas</x:v>
      </x:c>
      <x:c r="C10" s="89" t="str">
        <x:v>Dado que la práctica no tiene bloqueos,</x:v>
      </x:c>
      <x:c r="D10" s="89" t="str">
        <x:v>cuando aprueba la reserva,</x:v>
      </x:c>
      <x:c r="E10" s="89" t="str">
        <x:v>entonces la aprobación es transaccional, auditable e impide doble reserva.</x:v>
      </x:c>
      <x:c r="F10" s="89" t="str">
        <x:v>Disponibilidad</x:v>
      </x:c>
      <x:c r="G10" s="89" t="str">
        <x:v>Funcional + integración</x:v>
      </x:c>
    </x:row>
    <x:row r="11" ht="54" customHeight="1">
      <x:c r="A11" s="89" t="str">
        <x:v>HU-UTEN-007</x:v>
      </x:c>
      <x:c r="B11" s="89" t="str">
        <x:v>Préstamos internos</x:v>
      </x:c>
      <x:c r="C11" s="89" t="str">
        <x:v>Dado que otro laboratorio tiene disponibilidad confirmada,</x:v>
      </x:c>
      <x:c r="D11" s="89" t="str">
        <x:v>cuando solicita el préstamo interno,</x:v>
      </x:c>
      <x:c r="E11" s="89" t="str">
        <x:v>entonces registra origen, destino, responsable, fechas y aceptación del laboratorio prestador.</x:v>
      </x:c>
      <x:c r="F11" s="89" t="str">
        <x:v>Disponibilidad</x:v>
      </x:c>
      <x:c r="G11" s="89" t="str">
        <x:v>Funcional + integración</x:v>
      </x:c>
    </x:row>
    <x:row r="12" ht="54" customHeight="1">
      <x:c r="A12" s="89" t="str">
        <x:v>HU-UTEN-008</x:v>
      </x:c>
      <x:c r="B12" s="89" t="str">
        <x:v>Operación L-3</x:v>
      </x:c>
      <x:c r="C12" s="89" t="str">
        <x:v>Dado que existen reservas aprobadas para la semana,</x:v>
      </x:c>
      <x:c r="D12" s="89" t="str">
        <x:v>cuando consulta la cola semanal,</x:v>
      </x:c>
      <x:c r="E12" s="89" t="str">
        <x:v>entonces lista prácticas aprobadas, fecha límite, laboratorio, cantidades y alertas pendientes.</x:v>
      </x:c>
      <x:c r="F12" s="89" t="str">
        <x:v>Resumen / L-3</x:v>
      </x:c>
      <x:c r="G12" s="89" t="str">
        <x:v>Funcional + integración</x:v>
      </x:c>
    </x:row>
    <x:row r="13" ht="54" customHeight="1">
      <x:c r="A13" s="89" t="str">
        <x:v>HU-UTEN-009</x:v>
      </x:c>
      <x:c r="B13" s="89" t="str">
        <x:v>Operación L-3</x:v>
      </x:c>
      <x:c r="C13" s="89" t="str">
        <x:v>Dado que el técnico abrió el lote reservado,</x:v>
      </x:c>
      <x:c r="D13" s="89" t="str">
        <x:v>cuando confirma la preparación,</x:v>
      </x:c>
      <x:c r="E13" s="89" t="str">
        <x:v>entonces permite marcar preparado por ítem, registrar sustituciones autorizadas y dejar evidencia.</x:v>
      </x:c>
      <x:c r="F13" s="89" t="str">
        <x:v>L-3 y devolución</x:v>
      </x:c>
      <x:c r="G13" s="89" t="str">
        <x:v>Funcional + integración</x:v>
      </x:c>
    </x:row>
    <x:row r="14" ht="54" customHeight="1">
      <x:c r="A14" s="89" t="str">
        <x:v>HU-UTEN-010</x:v>
      </x:c>
      <x:c r="B14" s="89" t="str">
        <x:v>Operación L-3</x:v>
      </x:c>
      <x:c r="C14" s="89" t="str">
        <x:v>Dado que el lote preparado está completo o justificado,</x:v>
      </x:c>
      <x:c r="D14" s="89" t="str">
        <x:v>cuando confirma la entrega,</x:v>
      </x:c>
      <x:c r="E14" s="89" t="str">
        <x:v>entonces genera código único, detalle por ítem y constancia de recepción sin duplicados.</x:v>
      </x:c>
      <x:c r="F14" s="89" t="str">
        <x:v>L-3 y devolución</x:v>
      </x:c>
      <x:c r="G14" s="89" t="str">
        <x:v>Funcional + integración</x:v>
      </x:c>
    </x:row>
    <x:row r="15" ht="54" customHeight="1">
      <x:c r="A15" s="89" t="str">
        <x:v>HU-UTEN-011</x:v>
      </x:c>
      <x:c r="B15" s="89" t="str">
        <x:v>Devolución</x:v>
      </x:c>
      <x:c r="C15" s="89" t="str">
        <x:v>Dado que existe una entrega L-3 activa,</x:v>
      </x:c>
      <x:c r="D15" s="89" t="str">
        <x:v>cuando registra cantidades y condición devueltas,</x:v>
      </x:c>
      <x:c r="E15" s="89" t="str">
        <x:v>entonces compara entregado versus devuelto y no cierra si existe diferencia sin tratamiento.</x:v>
      </x:c>
      <x:c r="F15" s="89" t="str">
        <x:v>L-3 y devolución</x:v>
      </x:c>
      <x:c r="G15" s="89" t="str">
        <x:v>Funcional + integración</x:v>
      </x:c>
    </x:row>
    <x:row r="16" ht="54" customHeight="1">
      <x:c r="A16" s="89" t="str">
        <x:v>HU-UTEN-012</x:v>
      </x:c>
      <x:c r="B16" s="89" t="str">
        <x:v>Incidentes L-5</x:v>
      </x:c>
      <x:c r="C16" s="89" t="str">
        <x:v>Dado que la devolución presenta una diferencia,</x:v>
      </x:c>
      <x:c r="D16" s="89" t="str">
        <x:v>cuando registra evidencia de la novedad,</x:v>
      </x:c>
      <x:c r="E16" s="89" t="str">
        <x:v>entonces vincula L-3, práctica, ítem, evidencia y estado; responsabilidad inicial puede quedar por investigar.</x:v>
      </x:c>
      <x:c r="F16" s="89" t="str">
        <x:v>Incidentes L-5</x:v>
      </x:c>
      <x:c r="G16" s="89" t="str">
        <x:v>Funcional + integración</x:v>
      </x:c>
    </x:row>
    <x:row r="17" ht="54" customHeight="1">
      <x:c r="A17" s="89" t="str">
        <x:v>HU-UTEN-013</x:v>
      </x:c>
      <x:c r="B17" s="89" t="str">
        <x:v>Gobierno de datos</x:v>
      </x:c>
      <x:c r="C17" s="89" t="str">
        <x:v>Dado que un catálogo o unidad no es elegible,</x:v>
      </x:c>
      <x:c r="D17" s="89" t="str">
        <x:v>cuando intenta seleccionarlo,</x:v>
      </x:c>
      <x:c r="E17" s="89" t="str">
        <x:v>entonces pendientes siguen visibles en historial, pero no son seleccionables en nuevas prácticas.</x:v>
      </x:c>
      <x:c r="F17" s="89" t="str">
        <x:v>Disponibilidad</x:v>
      </x:c>
      <x:c r="G17" s="89" t="str">
        <x:v>Funcional + integración</x:v>
      </x:c>
    </x:row>
    <x:row r="18" ht="54" customHeight="1">
      <x:c r="A18" s="89" t="str">
        <x:v>HU-UTEN-014</x:v>
      </x:c>
      <x:c r="B18" s="89" t="str">
        <x:v>Trazabilidad</x:v>
      </x:c>
      <x:c r="C18" s="89" t="str">
        <x:v>Dado que existen eventos vinculados a la práctica,</x:v>
      </x:c>
      <x:c r="D18" s="89" t="str">
        <x:v>cuando consulta la línea temporal,</x:v>
      </x:c>
      <x:c r="E18" s="89" t="str">
        <x:v>entonces muestra línea temporal, usuarios, fechas, cambios y documentos relacionados.</x:v>
      </x:c>
      <x:c r="F18" s="89" t="str">
        <x:v>L-3 y devolución</x:v>
      </x:c>
      <x:c r="G18" s="89" t="str">
        <x:v>Funcional / aceptación</x:v>
      </x:c>
    </x:row>
    <x:row r="19" ht="54" customHeight="1">
      <x:c r="A19" s="89" t="str">
        <x:v>HU-UTEN-015</x:v>
      </x:c>
      <x:c r="B19" s="89" t="str">
        <x:v>Notificaciones</x:v>
      </x:c>
      <x:c r="C19" s="89" t="str">
        <x:v>Dado que hay un vencimiento configurado,</x:v>
      </x:c>
      <x:c r="D19" s="89" t="str">
        <x:v>cuando se acerca la preparación o devolución,</x:v>
      </x:c>
      <x:c r="E19" s="89" t="str">
        <x:v>entonces los avisos se generan por eventos y no se duplican para el mismo vencimiento.</x:v>
      </x:c>
      <x:c r="F19" s="89" t="str">
        <x:v>Resumen</x:v>
      </x:c>
      <x:c r="G19" s="89" t="str">
        <x:v>Funcional / aceptación</x:v>
      </x:c>
    </x:row>
    <x:row r="20" ht="54" customHeight="1">
      <x:c r="A20" s="89" t="str">
        <x:v>HU-UTEN-016</x:v>
      </x:c>
      <x:c r="B20" s="89" t="str">
        <x:v>Supervisión</x:v>
      </x:c>
      <x:c r="C20" s="89" t="str">
        <x:v>Dado que existen prácticas en distintos estados,</x:v>
      </x:c>
      <x:c r="D20" s="89" t="str">
        <x:v>cuando abre el tablero semanal,</x:v>
      </x:c>
      <x:c r="E20" s="89" t="str">
        <x:v>entonces separa listo, conflicto, préstamo, pendiente y cerrado con filtros por laboratorio.</x:v>
      </x:c>
      <x:c r="F20" s="89" t="str">
        <x:v>Resumen</x:v>
      </x:c>
      <x:c r="G20" s="89" t="str">
        <x:v>Funcional / aceptación</x:v>
      </x:c>
    </x:row>
    <x:row r="21" ht="54" customHeight="1">
      <x:c r="A21" s="89" t="str">
        <x:v>HU-UTEN-017</x:v>
      </x:c>
      <x:c r="B21" s="89" t="str">
        <x:v>Demanda</x:v>
      </x:c>
      <x:c r="C21" s="89" t="str">
        <x:v>Dado que hay demanda histórica por catálogo,</x:v>
      </x:c>
      <x:c r="D21" s="89" t="str">
        <x:v>cuando abre el análisis de demanda,</x:v>
      </x:c>
      <x:c r="E21" s="89" t="str">
        <x:v>entonces calcula demanda, disponibilidad, brecha y prácticas afectadas sin contar pendientes como confirmados.</x:v>
      </x:c>
      <x:c r="F21" s="89" t="str">
        <x:v>Demanda</x:v>
      </x:c>
      <x:c r="G21" s="89" t="str">
        <x:v>Funcional / aceptación</x:v>
      </x:c>
    </x:row>
    <x:row r="22" ht="54" customHeight="1">
      <x:c r="A22" s="89" t="str">
        <x:v>HU-UTEN-018</x:v>
      </x:c>
      <x:c r="B22" s="89" t="str">
        <x:v>Adquisiciones</x:v>
      </x:c>
      <x:c r="C22" s="89" t="str">
        <x:v>Dado que una brecha recurrente fue validada,</x:v>
      </x:c>
      <x:c r="D22" s="89" t="str">
        <x:v>cuando prepara una propuesta,</x:v>
      </x:c>
      <x:c r="E22" s="89" t="str">
        <x:v>entonces la propuesta es revisable, conserva método de cálculo y nunca crea una compra automáticamente.</x:v>
      </x:c>
      <x:c r="F22" s="89" t="str">
        <x:v>Demanda</x:v>
      </x:c>
      <x:c r="G22" s="89" t="str">
        <x:v>Funcional / aceptación</x:v>
      </x:c>
    </x:row>
    <x:row r="23" ht="54" customHeight="1">
      <x:c r="A23" s="89" t="str">
        <x:v>HU-UTEN-019</x:v>
      </x:c>
      <x:c r="B23" s="89" t="str">
        <x:v>Evidencia visual</x:v>
      </x:c>
      <x:c r="C23" s="89" t="str">
        <x:v>Dado que el catálogo tiene imagen aprobada,</x:v>
      </x:c>
      <x:c r="D23" s="89" t="str">
        <x:v>cuando consulta el requerimiento,</x:v>
      </x:c>
      <x:c r="E23" s="89" t="str">
        <x:v>entonces la imagen pertenece al catálogo; la unidad conserva inventario y serie.</x:v>
      </x:c>
      <x:c r="F23" s="89" t="str">
        <x:v>Requerimientos</x:v>
      </x:c>
      <x:c r="G23" s="89" t="str">
        <x:v>Funcional / aceptación</x:v>
      </x:c>
    </x:row>
    <x:row r="24" ht="54" customHeight="1">
      <x:c r="A24" s="90" t="str">
        <x:v>HU-UTEN-020</x:v>
      </x:c>
      <x:c r="B24" s="90" t="str">
        <x:v>Reportes</x:v>
      </x:c>
      <x:c r="C24" s="90" t="str">
        <x:v>Dado que el usuario aplicó filtros y fecha de corte,</x:v>
      </x:c>
      <x:c r="D24" s="90" t="str">
        <x:v>cuando exporta el resultado,</x:v>
      </x:c>
      <x:c r="E24" s="90" t="str">
        <x:v>entonces pDF/Excel reproduce filtros, fecha de corte y códigos trazables.</x:v>
      </x:c>
      <x:c r="F24" s="90" t="str">
        <x:v>Resumen / L-3 / Demanda</x:v>
      </x:c>
      <x:c r="G24" s="90" t="str">
        <x:v>Funcional / aceptación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54a30f363915485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6" hidden="0" customWidth="1"/>
    <x:col min="3" max="3" width="38" hidden="0" customWidth="1"/>
    <x:col min="4" max="4" width="24" hidden="0" customWidth="1"/>
    <x:col min="5" max="5" width="42" hidden="0" customWidth="1"/>
    <x:col min="6" max="6" width="26" hidden="0" customWidth="1"/>
    <x:col min="7" max="7" width="28" hidden="0" customWidth="1"/>
  </x:cols>
  <x:sheetData>
    <x:row r="1" ht="34" customHeight="1">
      <x:c r="A1" s="75" t="str">
        <x:v>MAPA DE NAVEGACIÓN DEL PROTOTIPO</x:v>
      </x:c>
      <x:c r="B1" s="75" t="str">
        <x:v>MAPA DE NAVEGACIÓN DEL PROTOTIPO</x:v>
      </x:c>
      <x:c r="C1" s="75" t="str">
        <x:v>MAPA DE NAVEGACIÓN DEL PROTOTIPO</x:v>
      </x:c>
      <x:c r="D1" s="75" t="str">
        <x:v>MAPA DE NAVEGACIÓN DEL PROTOTIPO</x:v>
      </x:c>
      <x:c r="E1" s="75" t="str">
        <x:v>MAPA DE NAVEGACIÓN DEL PROTOTIPO</x:v>
      </x:c>
      <x:c r="F1" s="75" t="str">
        <x:v>MAPA DE NAVEGACIÓN DEL PROTOTIPO</x:v>
      </x:c>
      <x:c r="G1" s="75" t="str">
        <x:v>MAPA DE NAVEGACIÓN DEL PROTOTIPO</x:v>
      </x:c>
    </x:row>
    <x:row r="2" ht="29" customHeight="1">
      <x:c r="A2" s="76" t="str">
        <x:v>Relación entre pantallas, acciones, salidas y las historias de usuario que demuestran</x:v>
      </x:c>
      <x:c r="B2" s="76" t="str">
        <x:v>Relación entre pantallas, acciones, salidas y las historias de usuario que demuestran</x:v>
      </x:c>
      <x:c r="C2" s="76" t="str">
        <x:v>Relación entre pantallas, acciones, salidas y las historias de usuario que demuestran</x:v>
      </x:c>
      <x:c r="D2" s="76" t="str">
        <x:v>Relación entre pantallas, acciones, salidas y las historias de usuario que demuestran</x:v>
      </x:c>
      <x:c r="E2" s="76" t="str">
        <x:v>Relación entre pantallas, acciones, salidas y las historias de usuario que demuestran</x:v>
      </x:c>
      <x:c r="F2" s="76" t="str">
        <x:v>Relación entre pantallas, acciones, salidas y las historias de usuario que demuestran</x:v>
      </x:c>
      <x:c r="G2" s="76" t="str">
        <x:v>Relación entre pantallas, acciones, salidas y las historias de usuario que demuestran</x:v>
      </x:c>
    </x:row>
    <x:row r="3">
      <x:c r="A3" s="77"/>
      <x:c r="B3" s="77"/>
      <x:c r="C3" s="77"/>
      <x:c r="D3" s="77"/>
      <x:c r="E3" s="77"/>
      <x:c r="F3" s="77"/>
      <x:c r="G3" s="77"/>
    </x:row>
    <x:row r="4" ht="32" customHeight="1">
      <x:c r="A4" s="85" t="str">
        <x:v>Orden</x:v>
      </x:c>
      <x:c r="B4" s="86" t="str">
        <x:v>Pantalla / frame</x:v>
      </x:c>
      <x:c r="C4" s="86" t="str">
        <x:v>Propósito</x:v>
      </x:c>
      <x:c r="D4" s="86" t="str">
        <x:v>Entrada principal</x:v>
      </x:c>
      <x:c r="E4" s="86" t="str">
        <x:v>Acciones demostrables</x:v>
      </x:c>
      <x:c r="F4" s="86" t="str">
        <x:v>Salida / siguiente paso</x:v>
      </x:c>
      <x:c r="G4" s="87" t="str">
        <x:v>Historias vinculadas</x:v>
      </x:c>
    </x:row>
    <x:row r="5" ht="55" customHeight="1">
      <x:c r="A5" s="88" t="n">
        <x:v>1</x:v>
      </x:c>
      <x:c r="B5" s="88" t="str">
        <x:v>01 · Resumen semanal</x:v>
      </x:c>
      <x:c r="C5" s="88" t="str">
        <x:v>Dar situación operativa y priorizar alertas.</x:v>
      </x:c>
      <x:c r="D5" s="88" t="str">
        <x:v>Menú del módulo</x:v>
      </x:c>
      <x:c r="E5" s="88" t="str">
        <x:v>Ver agenda, abrir conflicto, revisar devolución.</x:v>
      </x:c>
      <x:c r="F5" s="88" t="str">
        <x:v>Planificación o Disponibilidad</x:v>
      </x:c>
      <x:c r="G5" s="88" t="str">
        <x:v>HU-005, HU-008, HU-015, HU-016</x:v>
      </x:c>
    </x:row>
    <x:row r="6" ht="55" customHeight="1">
      <x:c r="A6" s="89" t="n">
        <x:v>2</x:v>
      </x:c>
      <x:c r="B6" s="89" t="str">
        <x:v>02 · Planificación</x:v>
      </x:c>
      <x:c r="C6" s="89" t="str">
        <x:v>Crear el contexto académico de la práctica.</x:v>
      </x:c>
      <x:c r="D6" s="89" t="str">
        <x:v>Planificar práctica</x:v>
      </x:c>
      <x:c r="E6" s="89" t="str">
        <x:v>Elegir gestión, asignatura, grupo, fecha, hora y laboratorio.</x:v>
      </x:c>
      <x:c r="F6" s="89" t="str">
        <x:v>Requerimientos</x:v>
      </x:c>
      <x:c r="G6" s="89" t="str">
        <x:v>HU-001, HU-002</x:v>
      </x:c>
    </x:row>
    <x:row r="7" ht="55" customHeight="1">
      <x:c r="A7" s="89" t="n">
        <x:v>3</x:v>
      </x:c>
      <x:c r="B7" s="89" t="str">
        <x:v>03 · Requerimientos</x:v>
      </x:c>
      <x:c r="C7" s="89" t="str">
        <x:v>Definir catálogos, cantidades y reglas de uso.</x:v>
      </x:c>
      <x:c r="D7" s="89" t="str">
        <x:v>Definir utensilios</x:v>
      </x:c>
      <x:c r="E7" s="89" t="str">
        <x:v>Agregar/quitar ítems, ajustar cantidad, ver brecha.</x:v>
      </x:c>
      <x:c r="F7" s="89" t="str">
        <x:v>Disponibilidad</x:v>
      </x:c>
      <x:c r="G7" s="89" t="str">
        <x:v>HU-003, HU-019</x:v>
      </x:c>
    </x:row>
    <x:row r="8" ht="55" customHeight="1">
      <x:c r="A8" s="89" t="n">
        <x:v>4</x:v>
      </x:c>
      <x:c r="B8" s="89" t="str">
        <x:v>04 · Disponibilidad</x:v>
      </x:c>
      <x:c r="C8" s="89" t="str">
        <x:v>Validar stock, estados y solapamientos.</x:v>
      </x:c>
      <x:c r="D8" s="89" t="str">
        <x:v>Validar disponibilidad</x:v>
      </x:c>
      <x:c r="E8" s="89" t="str">
        <x:v>Resolver préstamo o aprobar reserva.</x:v>
      </x:c>
      <x:c r="F8" s="89" t="str">
        <x:v>L-3 y devolución</x:v>
      </x:c>
      <x:c r="G8" s="89" t="str">
        <x:v>HU-004 a HU-007, HU-013</x:v>
      </x:c>
    </x:row>
    <x:row r="9" ht="55" customHeight="1">
      <x:c r="A9" s="89" t="n">
        <x:v>5</x:v>
      </x:c>
      <x:c r="B9" s="89" t="str">
        <x:v>05 · L-3 y devolución</x:v>
      </x:c>
      <x:c r="C9" s="89" t="str">
        <x:v>Preparar, entregar, devolver y cerrar.</x:v>
      </x:c>
      <x:c r="D9" s="89" t="str">
        <x:v>Reserva aprobada</x:v>
      </x:c>
      <x:c r="E9" s="89" t="str">
        <x:v>Vista L-3, registrar devolución, abrir novedad.</x:v>
      </x:c>
      <x:c r="F9" s="89" t="str">
        <x:v>Cierre o Incidente L-5</x:v>
      </x:c>
      <x:c r="G9" s="89" t="str">
        <x:v>HU-008 a HU-011, HU-014</x:v>
      </x:c>
    </x:row>
    <x:row r="10" ht="55" customHeight="1">
      <x:c r="A10" s="89" t="n">
        <x:v>6</x:v>
      </x:c>
      <x:c r="B10" s="89" t="str">
        <x:v>06 · Incidentes L-5</x:v>
      </x:c>
      <x:c r="C10" s="89" t="str">
        <x:v>Documentar daño, pérdida o faltante.</x:v>
      </x:c>
      <x:c r="D10" s="89" t="str">
        <x:v>Registrar novedad</x:v>
      </x:c>
      <x:c r="E10" s="89" t="str">
        <x:v>Elegir tipo, ítem, responsabilidad inicial y evidencia.</x:v>
      </x:c>
      <x:c r="F10" s="89" t="str">
        <x:v>Borrador L-5</x:v>
      </x:c>
      <x:c r="G10" s="89" t="str">
        <x:v>HU-012</x:v>
      </x:c>
    </x:row>
    <x:row r="11" ht="55" customHeight="1">
      <x:c r="A11" s="90" t="n">
        <x:v>7</x:v>
      </x:c>
      <x:c r="B11" s="90" t="str">
        <x:v>07 · Demanda</x:v>
      </x:c>
      <x:c r="C11" s="90" t="str">
        <x:v>Detectar brechas recurrentes y sustentar compra.</x:v>
      </x:c>
      <x:c r="D11" s="90" t="str">
        <x:v>Menú del módulo</x:v>
      </x:c>
      <x:c r="E11" s="90" t="str">
        <x:v>Comparar pico/disponible, abrir propuesta.</x:v>
      </x:c>
      <x:c r="F11" s="90" t="str">
        <x:v>Revisión de adquisición</x:v>
      </x:c>
      <x:c r="G11" s="90" t="str">
        <x:v>HU-017, HU-018, HU-020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a6c14ebc1f0848b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24" hidden="0" customWidth="1"/>
    <x:col min="4" max="4" width="46" hidden="0" customWidth="1"/>
    <x:col min="5" max="5" width="42" hidden="0" customWidth="1"/>
    <x:col min="6" max="6" width="22" hidden="0" customWidth="1"/>
    <x:col min="7" max="7" width="32" hidden="0" customWidth="1"/>
  </x:cols>
  <x:sheetData>
    <x:row r="1" ht="34" customHeight="1">
      <x:c r="A1" s="75" t="str">
        <x:v>SUPUESTOS, DEPENDENCIAS Y DUDAS</x:v>
      </x:c>
      <x:c r="B1" s="75" t="str">
        <x:v>SUPUESTOS, DEPENDENCIAS Y DUDAS</x:v>
      </x:c>
      <x:c r="C1" s="75" t="str">
        <x:v>SUPUESTOS, DEPENDENCIAS Y DUDAS</x:v>
      </x:c>
      <x:c r="D1" s="75" t="str">
        <x:v>SUPUESTOS, DEPENDENCIAS Y DUDAS</x:v>
      </x:c>
      <x:c r="E1" s="75" t="str">
        <x:v>SUPUESTOS, DEPENDENCIAS Y DUDAS</x:v>
      </x:c>
      <x:c r="F1" s="75" t="str">
        <x:v>SUPUESTOS, DEPENDENCIAS Y DUDAS</x:v>
      </x:c>
      <x:c r="G1" s="75" t="str">
        <x:v>SUPUESTOS, DEPENDENCIAS Y DUDAS</x:v>
      </x:c>
    </x:row>
    <x:row r="2" ht="29" customHeight="1">
      <x:c r="A2" s="76" t="str">
        <x:v>Separación explícita entre lo conversado, la propuesta del prototipo y las decisiones aún pendientes</x:v>
      </x:c>
      <x:c r="B2" s="76" t="str">
        <x:v>Separación explícita entre lo conversado, la propuesta del prototipo y las decisiones aún pendientes</x:v>
      </x:c>
      <x:c r="C2" s="76" t="str">
        <x:v>Separación explícita entre lo conversado, la propuesta del prototipo y las decisiones aún pendientes</x:v>
      </x:c>
      <x:c r="D2" s="76" t="str">
        <x:v>Separación explícita entre lo conversado, la propuesta del prototipo y las decisiones aún pendientes</x:v>
      </x:c>
      <x:c r="E2" s="76" t="str">
        <x:v>Separación explícita entre lo conversado, la propuesta del prototipo y las decisiones aún pendientes</x:v>
      </x:c>
      <x:c r="F2" s="76" t="str">
        <x:v>Separación explícita entre lo conversado, la propuesta del prototipo y las decisiones aún pendientes</x:v>
      </x:c>
      <x:c r="G2" s="76" t="str">
        <x:v>Separación explícita entre lo conversado, la propuesta del prototipo y las decisiones aún pendientes</x:v>
      </x:c>
    </x:row>
    <x:row r="3">
      <x:c r="A3" s="77"/>
      <x:c r="B3" s="77"/>
      <x:c r="C3" s="77"/>
      <x:c r="D3" s="77"/>
      <x:c r="E3" s="77"/>
      <x:c r="F3" s="77"/>
      <x:c r="G3" s="77"/>
    </x:row>
    <x:row r="4" ht="32" customHeight="1">
      <x:c r="A4" s="85" t="str">
        <x:v>ID</x:v>
      </x:c>
      <x:c r="B4" s="86" t="str">
        <x:v>Tema</x:v>
      </x:c>
      <x:c r="C4" s="86" t="str">
        <x:v>Clasificación</x:v>
      </x:c>
      <x:c r="D4" s="86" t="str">
        <x:v>Definición actual</x:v>
      </x:c>
      <x:c r="E4" s="86" t="str">
        <x:v>Pregunta de validación</x:v>
      </x:c>
      <x:c r="F4" s="86" t="str">
        <x:v>Responsable</x:v>
      </x:c>
      <x:c r="G4" s="87" t="str">
        <x:v>Impacto si no se resuelve</x:v>
      </x:c>
    </x:row>
    <x:row r="5" ht="58" customHeight="1">
      <x:c r="A5" s="88" t="str">
        <x:v>D-01</x:v>
      </x:c>
      <x:c r="B5" s="88" t="str">
        <x:v>Autoridad funcional</x:v>
      </x:c>
      <x:c r="C5" s="88" t="str">
        <x:v>Por validar</x:v>
      </x:c>
      <x:c r="D5" s="88" t="str">
        <x:v>Responsable de laboratorio planifica; técnico prepara y registra; docente recibe.</x:v>
      </x:c>
      <x:c r="E5" s="88" t="str">
        <x:v>¿Estos roles y permisos reflejan la operación real?</x:v>
      </x:c>
      <x:c r="F5" s="88" t="str">
        <x:v>Cliente / Inventario</x:v>
      </x:c>
      <x:c r="G5" s="88" t="str">
        <x:v>Bloquea permisos y aprobaciones</x:v>
      </x:c>
    </x:row>
    <x:row r="6" ht="58" customHeight="1">
      <x:c r="A6" s="89" t="str">
        <x:v>D-02</x:v>
      </x:c>
      <x:c r="B6" s="89" t="str">
        <x:v>Práctica académica</x:v>
      </x:c>
      <x:c r="C6" s="89" t="str">
        <x:v>Propuesta de modelo</x:v>
      </x:c>
      <x:c r="D6" s="89" t="str">
        <x:v>Entidad con gestión, asignatura, grupo, responsable, fecha, hora y laboratorio.</x:v>
      </x:c>
      <x:c r="E6" s="89" t="str">
        <x:v>¿La práctica ya existe en otro módulo o debe crearse?</x:v>
      </x:c>
      <x:c r="F6" s="89" t="str">
        <x:v>Datos / Producto</x:v>
      </x:c>
      <x:c r="G6" s="89" t="str">
        <x:v>Evitar duplicar entidades</x:v>
      </x:c>
    </x:row>
    <x:row r="7" ht="58" customHeight="1">
      <x:c r="A7" s="89" t="str">
        <x:v>D-03</x:v>
      </x:c>
      <x:c r="B7" s="89" t="str">
        <x:v>Grupo académico</x:v>
      </x:c>
      <x:c r="C7" s="89" t="str">
        <x:v>Propuesta de modelo</x:v>
      </x:c>
      <x:c r="D7" s="89" t="str">
        <x:v>Grupo o paralelo asociado a una asignatura y gestión.</x:v>
      </x:c>
      <x:c r="E7" s="89" t="str">
        <x:v>¿Se sincroniza desde el sistema académico?</x:v>
      </x:c>
      <x:c r="F7" s="89" t="str">
        <x:v>Cliente / TI</x:v>
      </x:c>
      <x:c r="G7" s="89" t="str">
        <x:v>Define fuente de verdad</x:v>
      </x:c>
    </x:row>
    <x:row r="8" ht="58" customHeight="1">
      <x:c r="A8" s="89" t="str">
        <x:v>D-04</x:v>
      </x:c>
      <x:c r="B8" s="89" t="str">
        <x:v>Reserva</x:v>
      </x:c>
      <x:c r="C8" s="89" t="str">
        <x:v>Propuesta de modelo</x:v>
      </x:c>
      <x:c r="D8" s="89" t="str">
        <x:v>Bloquea capacidad por catálogo/unidad e intervalo aprobado.</x:v>
      </x:c>
      <x:c r="E8" s="89" t="str">
        <x:v>¿La reserva es por cantidad de catálogo o por unidad física?</x:v>
      </x:c>
      <x:c r="F8" s="89" t="str">
        <x:v>Datos / Inventario</x:v>
      </x:c>
      <x:c r="G8" s="89" t="str">
        <x:v>Cambia diseño y concurrencia</x:v>
      </x:c>
    </x:row>
    <x:row r="9" ht="58" customHeight="1">
      <x:c r="A9" s="89" t="str">
        <x:v>D-05</x:v>
      </x:c>
      <x:c r="B9" s="89" t="str">
        <x:v>Consumibles</x:v>
      </x:c>
      <x:c r="C9" s="89" t="str">
        <x:v>Por validar</x:v>
      </x:c>
      <x:c r="D9" s="89" t="str">
        <x:v>Reactivos/consumibles podrían gestionarse por artículo y cantidad, no por inventario.</x:v>
      </x:c>
      <x:c r="E9" s="89" t="str">
        <x:v>¿Forman parte del módulo o solo utensilios reutilizables?</x:v>
      </x:c>
      <x:c r="F9" s="89" t="str">
        <x:v>Cliente</x:v>
      </x:c>
      <x:c r="G9" s="89" t="str">
        <x:v>Cambia alcance</x:v>
      </x:c>
    </x:row>
    <x:row r="10" ht="58" customHeight="1">
      <x:c r="A10" s="89" t="str">
        <x:v>D-06</x:v>
      </x:c>
      <x:c r="B10" s="89" t="str">
        <x:v>Préstamo interno</x:v>
      </x:c>
      <x:c r="C10" s="89" t="str">
        <x:v>Confirmado en conversación</x:v>
      </x:c>
      <x:c r="D10" s="89" t="str">
        <x:v>Puede cubrir una brecha entre laboratorios con responsables y fechas.</x:v>
      </x:c>
      <x:c r="E10" s="89" t="str">
        <x:v>¿Quién aprueba en el laboratorio de origen?</x:v>
      </x:c>
      <x:c r="F10" s="89" t="str">
        <x:v>Cliente</x:v>
      </x:c>
      <x:c r="G10" s="89" t="str">
        <x:v>Bloquea workflow</x:v>
      </x:c>
    </x:row>
    <x:row r="11" ht="58" customHeight="1">
      <x:c r="A11" s="89" t="str">
        <x:v>D-07</x:v>
      </x:c>
      <x:c r="B11" s="89" t="str">
        <x:v>L-3</x:v>
      </x:c>
      <x:c r="C11" s="89" t="str">
        <x:v>Confirmado en conversación</x:v>
      </x:c>
      <x:c r="D11" s="89" t="str">
        <x:v>La entrega debe relacionarse con práctica, responsables y detalle.</x:v>
      </x:c>
      <x:c r="E11" s="89" t="str">
        <x:v>¿Se usa el formato L-3 vigente o una variante académica?</x:v>
      </x:c>
      <x:c r="F11" s="89" t="str">
        <x:v>Cliente / Datos</x:v>
      </x:c>
      <x:c r="G11" s="89" t="str">
        <x:v>Afecta integración histórica</x:v>
      </x:c>
    </x:row>
    <x:row r="12" ht="58" customHeight="1">
      <x:c r="A12" s="89" t="str">
        <x:v>D-08</x:v>
      </x:c>
      <x:c r="B12" s="89" t="str">
        <x:v>L-5</x:v>
      </x:c>
      <x:c r="C12" s="89" t="str">
        <x:v>Confirmado en conversación</x:v>
      </x:c>
      <x:c r="D12" s="89" t="str">
        <x:v>Daño, pérdida o faltante inicia tratamiento sin inferir responsable.</x:v>
      </x:c>
      <x:c r="E12" s="89" t="str">
        <x:v>¿Cuál es el circuito institucional de aprobación y reposición?</x:v>
      </x:c>
      <x:c r="F12" s="89" t="str">
        <x:v>Cliente</x:v>
      </x:c>
      <x:c r="G12" s="89" t="str">
        <x:v>Bloquea cierre de incidentes</x:v>
      </x:c>
    </x:row>
    <x:row r="13" ht="58" customHeight="1">
      <x:c r="A13" s="89" t="str">
        <x:v>D-09</x:v>
      </x:c>
      <x:c r="B13" s="89" t="str">
        <x:v>Clasificación</x:v>
      </x:c>
      <x:c r="C13" s="89" t="str">
        <x:v>Dependencia P0</x:v>
      </x:c>
      <x:c r="D13" s="89" t="str">
        <x:v>Solo catálogos confirmados pueden alimentar nuevas planificaciones.</x:v>
      </x:c>
      <x:c r="E13" s="89" t="str">
        <x:v>¿Cuándo se aprobarán los 107 catálogos V2?</x:v>
      </x:c>
      <x:c r="F13" s="89" t="str">
        <x:v>Datos / Cliente</x:v>
      </x:c>
      <x:c r="G13" s="89" t="str">
        <x:v>Bloquea carga real</x:v>
      </x:c>
    </x:row>
    <x:row r="14" ht="58" customHeight="1">
      <x:c r="A14" s="89" t="str">
        <x:v>D-10</x:v>
      </x:c>
      <x:c r="B14" s="89" t="str">
        <x:v>Unidades físicas</x:v>
      </x:c>
      <x:c r="C14" s="89" t="str">
        <x:v>Dependencia P0</x:v>
      </x:c>
      <x:c r="D14" s="89" t="str">
        <x:v>Disponibilidad requiere ubicación y estado operativo confiables.</x:v>
      </x:c>
      <x:c r="E14" s="89" t="str">
        <x:v>¿Qué estados impiden reserva y desde qué fecha?</x:v>
      </x:c>
      <x:c r="F14" s="89" t="str">
        <x:v>Datos / Inventario</x:v>
      </x:c>
      <x:c r="G14" s="89" t="str">
        <x:v>Riesgo de sobreasignación</x:v>
      </x:c>
    </x:row>
    <x:row r="15" ht="58" customHeight="1">
      <x:c r="A15" s="89" t="str">
        <x:v>D-11</x:v>
      </x:c>
      <x:c r="B15" s="89" t="str">
        <x:v>Solapamiento</x:v>
      </x:c>
      <x:c r="C15" s="89" t="str">
        <x:v>Hipótesis funcional</x:v>
      </x:c>
      <x:c r="D15" s="89" t="str">
        <x:v>Dos prácticas se solapan si sus intervalos se cruzan y compiten por capacidad.</x:v>
      </x:c>
      <x:c r="E15" s="89" t="str">
        <x:v>¿Existe tiempo adicional de preparación/limpieza?</x:v>
      </x:c>
      <x:c r="F15" s="89" t="str">
        <x:v>Cliente</x:v>
      </x:c>
      <x:c r="G15" s="89" t="str">
        <x:v>Cambia cálculo</x:v>
      </x:c>
    </x:row>
    <x:row r="16" ht="58" customHeight="1">
      <x:c r="A16" s="89" t="str">
        <x:v>D-12</x:v>
      </x:c>
      <x:c r="B16" s="89" t="str">
        <x:v>Imágenes</x:v>
      </x:c>
      <x:c r="C16" s="89" t="str">
        <x:v>Confirmado en conversación</x:v>
      </x:c>
      <x:c r="D16" s="89" t="str">
        <x:v>La imagen identifica el catálogo; no se duplica por unidad salvo evidencia específica.</x:v>
      </x:c>
      <x:c r="E16" s="89" t="str">
        <x:v>¿Quién administra las imágenes y calidad mínima?</x:v>
      </x:c>
      <x:c r="F16" s="89" t="str">
        <x:v>Inventario</x:v>
      </x:c>
      <x:c r="G16" s="89" t="str">
        <x:v>No bloquea MVP</x:v>
      </x:c>
    </x:row>
    <x:row r="17" ht="58" customHeight="1">
      <x:c r="A17" s="89" t="str">
        <x:v>D-13</x:v>
      </x:c>
      <x:c r="B17" s="89" t="str">
        <x:v>Notificaciones</x:v>
      </x:c>
      <x:c r="C17" s="89" t="str">
        <x:v>Hipótesis funcional</x:v>
      </x:c>
      <x:c r="D17" s="89" t="str">
        <x:v>Avisos por preparación, conflicto y devolución próxima.</x:v>
      </x:c>
      <x:c r="E17" s="89" t="str">
        <x:v>¿Canal interno, correo u otro?</x:v>
      </x:c>
      <x:c r="F17" s="89" t="str">
        <x:v>Cliente / TI</x:v>
      </x:c>
      <x:c r="G17" s="89" t="str">
        <x:v>Afecta Sprint 3</x:v>
      </x:c>
    </x:row>
    <x:row r="18" ht="58" customHeight="1">
      <x:c r="A18" s="89" t="str">
        <x:v>D-14</x:v>
      </x:c>
      <x:c r="B18" s="89" t="str">
        <x:v>Demanda</x:v>
      </x:c>
      <x:c r="C18" s="89" t="str">
        <x:v>Confirmado en conversación</x:v>
      </x:c>
      <x:c r="D18" s="89" t="str">
        <x:v>Analiza pico por horario, brecha y prácticas afectadas.</x:v>
      </x:c>
      <x:c r="E18" s="89" t="str">
        <x:v>¿Qué horizonte y regla justifican una compra?</x:v>
      </x:c>
      <x:c r="F18" s="89" t="str">
        <x:v>Cliente / Finanzas</x:v>
      </x:c>
      <x:c r="G18" s="89" t="str">
        <x:v>Afecta recomendaciones</x:v>
      </x:c>
    </x:row>
    <x:row r="19" ht="58" customHeight="1">
      <x:c r="A19" s="89" t="str">
        <x:v>D-15</x:v>
      </x:c>
      <x:c r="B19" s="89" t="str">
        <x:v>Integración</x:v>
      </x:c>
      <x:c r="C19" s="89" t="str">
        <x:v>Dependencia P0</x:v>
      </x:c>
      <x:c r="D19" s="89" t="str">
        <x:v>El módulo no se conecta hasta aprobar contrato y completar QA.</x:v>
      </x:c>
      <x:c r="E19" s="89" t="str">
        <x:v>¿Datos aprueba Encaja, Encaja con cambios o No encaja?</x:v>
      </x:c>
      <x:c r="F19" s="89" t="str">
        <x:v>Datos</x:v>
      </x:c>
      <x:c r="G19" s="89" t="str">
        <x:v>Bloquea implementación</x:v>
      </x:c>
    </x:row>
    <x:row r="20" ht="58" customHeight="1">
      <x:c r="A20" s="90" t="str">
        <x:v>D-16</x:v>
      </x:c>
      <x:c r="B20" s="90" t="str">
        <x:v>Alcance del prototipo</x:v>
      </x:c>
      <x:c r="C20" s="90" t="str">
        <x:v>Fijado</x:v>
      </x:c>
      <x:c r="D20" s="90" t="str">
        <x:v>La entrega actual es navegable y estática; no escribe base ni APIs.</x:v>
      </x:c>
      <x:c r="E20" s="90" t="str">
        <x:v>¿Se aprueba como base de validación y Figma?</x:v>
      </x:c>
      <x:c r="F20" s="90" t="str">
        <x:v>Cliente / Docente</x:v>
      </x:c>
      <x:c r="G20" s="90" t="str">
        <x:v>Define siguiente iteración</x:v>
      </x:c>
    </x:row>
  </x:sheetData>
  <x:mergeCells>
    <x:mergeCell ref="A1:G1"/>
    <x:mergeCell ref="A2:G2"/>
  </x:mergeCells>
  <x:conditionalFormatting sqref="C5:C20">
    <x:cfRule type="expression" dxfId="3" priority="1">
      <x:formula>C5="Dependencia P0"</x:formula>
    </x:cfRule>
    <x:cfRule type="expression" dxfId="4" priority="2">
      <x:formula>C5="Confirmado en conversación"</x:formula>
    </x:cfRule>
    <x:cfRule type="expression" dxfId="5" priority="3">
      <x:formula>C5="Hipótesis funcional"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e9e58bcb8ae4f67"/>
  </x:tableParts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543BC3C1F7894FAF55B19BF967CF14" ma:contentTypeVersion="10" ma:contentTypeDescription="Create a new document." ma:contentTypeScope="" ma:versionID="fe4d5dbab4d9cd0c52519940100f0ea2">
  <xsd:schema xmlns:xsd="http://www.w3.org/2001/XMLSchema" xmlns:xs="http://www.w3.org/2001/XMLSchema" xmlns:p="http://schemas.microsoft.com/office/2006/metadata/properties" xmlns:ns2="cd200b46-281d-4782-b9b3-95b265c8992b" xmlns:ns3="d252733c-f738-4763-a8f4-9fdc820803bf" targetNamespace="http://schemas.microsoft.com/office/2006/metadata/properties" ma:root="true" ma:fieldsID="a94a306a91ec1b29393978a54a246c86" ns2:_="" ns3:_="">
    <xsd:import namespace="cd200b46-281d-4782-b9b3-95b265c8992b"/>
    <xsd:import namespace="d252733c-f738-4763-a8f4-9fdc820803bf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200b46-281d-4782-b9b3-95b265c8992b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8d5de925-3f08-4e1d-96c4-5e87567ca4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52733c-f738-4763-a8f4-9fdc820803bf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4adb4a5b-b391-4b92-8214-2b77b0716411}" ma:internalName="TaxCatchAll" ma:showField="CatchAllData" ma:web="d252733c-f738-4763-a8f4-9fdc820803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cd200b46-281d-4782-b9b3-95b265c8992b" xsi:nil="true"/>
    <lcf76f155ced4ddcb4097134ff3c332f xmlns="cd200b46-281d-4782-b9b3-95b265c8992b">
      <Terms xmlns="http://schemas.microsoft.com/office/infopath/2007/PartnerControls"/>
    </lcf76f155ced4ddcb4097134ff3c332f>
    <TaxCatchAll xmlns="d252733c-f738-4763-a8f4-9fdc820803bf" xsi:nil="true"/>
  </documentManagement>
</p:properties>
</file>

<file path=customXml/itemProps1.xml><?xml version="1.0" encoding="utf-8"?>
<ds:datastoreItem xmlns:ds="http://schemas.openxmlformats.org/officeDocument/2006/customXml" ds:itemID="{C076D424-956C-4D03-891E-24604E9E8FF5}"/>
</file>

<file path=customXml/itemProps2.xml><?xml version="1.0" encoding="utf-8"?>
<ds:datastoreItem xmlns:ds="http://schemas.openxmlformats.org/officeDocument/2006/customXml" ds:itemID="{E15AF91D-F588-4404-A993-E783AC72F370}"/>
</file>

<file path=customXml/itemProps3.xml><?xml version="1.0" encoding="utf-8"?>
<ds:datastoreItem xmlns:ds="http://schemas.openxmlformats.org/officeDocument/2006/customXml" ds:itemID="{B9BEF4E4-DA97-42B6-A0FC-2F8936D56D75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0x010100B1543BC3C1F7894FAF55B19BF967CF14</vt:lpwstr>
  </property>
</Properties>
</file>
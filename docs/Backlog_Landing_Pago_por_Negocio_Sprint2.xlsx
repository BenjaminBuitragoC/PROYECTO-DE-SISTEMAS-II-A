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02"/>
  <workbookPr/>
  <xr:revisionPtr revIDLastSave="0" documentId="11_F5DC02093FB14F85EE45AB73C3161FAE2D32B2FE" xr6:coauthVersionLast="47" xr6:coauthVersionMax="47" xr10:uidLastSave="{00000000-0000-0000-0000-000000000000}"/>
  <bookViews>
    <workbookView xWindow="0" yWindow="0" windowWidth="28800" windowHeight="11700" tabRatio="500" firstSheet="5" activeTab="5" xr2:uid="{00000000-000D-0000-FFFF-FFFF00000000}"/>
  </bookViews>
  <sheets>
    <sheet name="Backlog" sheetId="1" r:id="rId1"/>
    <sheet name="Resumen" sheetId="2" r:id="rId2"/>
    <sheet name="Notas y Dudas" sheetId="3" r:id="rId3"/>
    <sheet name="Planificación de Sprints" sheetId="4" r:id="rId4"/>
    <sheet name="Mapa HU Sprint 1" sheetId="5" r:id="rId5"/>
    <sheet name="Mapa HU Sprint 2" sheetId="6" r:id="rId6"/>
  </sheets>
  <definedNames>
    <definedName name="_xlnm._FilterDatabase" localSheetId="0" hidden="1">Backlog!$A$4:$J$59</definedName>
    <definedName name="_xlnm._FilterDatabase" localSheetId="4" hidden="1">'Mapa HU Sprint 1'!$A$4:$I$25</definedName>
    <definedName name="_xlnm._FilterDatabase" localSheetId="5" hidden="1">'Mapa HU Sprint 2'!$A$4:$M$22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2" i="4" l="1"/>
  <c r="E72" i="4"/>
  <c r="F51" i="4"/>
  <c r="E51" i="4"/>
  <c r="F28" i="4"/>
  <c r="E28" i="4"/>
  <c r="F33" i="2"/>
  <c r="E33" i="2"/>
  <c r="D33" i="2"/>
  <c r="C33" i="2"/>
  <c r="B33" i="2"/>
  <c r="F32" i="2"/>
  <c r="E32" i="2"/>
  <c r="D32" i="2"/>
  <c r="C32" i="2"/>
  <c r="B32" i="2"/>
  <c r="F31" i="2"/>
  <c r="E31" i="2"/>
  <c r="D31" i="2"/>
  <c r="C31" i="2"/>
  <c r="B31" i="2"/>
  <c r="F30" i="2"/>
  <c r="E30" i="2"/>
  <c r="D30" i="2"/>
  <c r="C30" i="2"/>
  <c r="B30" i="2"/>
  <c r="B25" i="2"/>
  <c r="B24" i="2"/>
  <c r="B23" i="2"/>
  <c r="B19" i="2"/>
  <c r="B18" i="2"/>
  <c r="B17" i="2"/>
  <c r="B16" i="2"/>
  <c r="B15" i="2"/>
  <c r="B14" i="2"/>
  <c r="B13" i="2"/>
  <c r="B12" i="2"/>
  <c r="B11" i="2"/>
  <c r="B10" i="2"/>
  <c r="B9" i="2"/>
  <c r="B8" i="2"/>
  <c r="B7" i="2"/>
  <c r="B6" i="2"/>
  <c r="B5" i="2"/>
  <c r="C34" i="6"/>
  <c r="B34" i="6"/>
  <c r="C33" i="6"/>
  <c r="B33" i="6"/>
  <c r="C32" i="6"/>
  <c r="B32" i="6"/>
  <c r="C31" i="6"/>
  <c r="B31" i="6"/>
  <c r="C30" i="6"/>
  <c r="B30" i="6"/>
  <c r="C29" i="6"/>
  <c r="B29" i="6"/>
  <c r="C28" i="6"/>
  <c r="B28" i="6"/>
  <c r="C27" i="6"/>
  <c r="B27" i="6"/>
</calcChain>
</file>

<file path=xl/sharedStrings.xml><?xml version="1.0" encoding="utf-8"?>
<sst xmlns="http://schemas.openxmlformats.org/spreadsheetml/2006/main" count="1307" uniqueCount="498">
  <si>
    <t>Backlog de Requerimientos — Landing Pago por Negocio</t>
  </si>
  <si>
    <t>Elaborado a partir del bosquejo de requerimientos, la transcripción de la entrevista y las aclaraciones posteriores del cliente. Ver hoja 'Notas y Dudas'.</t>
  </si>
  <si>
    <t>ID</t>
  </si>
  <si>
    <t>Épica</t>
  </si>
  <si>
    <t>Rol / Actor</t>
  </si>
  <si>
    <t>Historia de Usuario</t>
  </si>
  <si>
    <t>Criterios de Aceptación</t>
  </si>
  <si>
    <t>Prioridad</t>
  </si>
  <si>
    <t>Estado</t>
  </si>
  <si>
    <t>Observaciones</t>
  </si>
  <si>
    <t>Estimación (SP)</t>
  </si>
  <si>
    <t>Sprint</t>
  </si>
  <si>
    <t>HU-001</t>
  </si>
  <si>
    <t>Solicitud y Publicación de Eventos</t>
  </si>
  <si>
    <t>Cliente (Organizador)</t>
  </si>
  <si>
    <t>Como cliente organizador, quiero enviar una solicitud de evento al administrador indicando la fecha o fechas de duración del evento, descripción, mapa de la zona y ubicación, para pedir que mi evento se publique en la plataforma.</t>
  </si>
  <si>
    <t>- El formulario captura fecha o fechas de duración, descripción, ubicación y el mapa de la zona del evento.
- Se permite indicar eventos de un solo día o de varios días.
- La solicitud queda en estado 'pendiente' hasta revisión del admin.</t>
  </si>
  <si>
    <t>Alta</t>
  </si>
  <si>
    <t>Por definir</t>
  </si>
  <si>
    <t>El mapa de la zona lo entrega el propio cliente organizador; el admin no lo diseña (ver HU-042). La duración del evento debe quedar registrada para permitir entradas por día cuando corresponda.</t>
  </si>
  <si>
    <t>Sprint 1</t>
  </si>
  <si>
    <t>HU-002</t>
  </si>
  <si>
    <t>Admin</t>
  </si>
  <si>
    <t>Como visitante, quiero hacer clic en un evento del carrusel para ver su detalle: descripción, categorías de entrada (General/VIP/Super VIP), precios, beneficios, horario, cronograma y fechas disponibles.</t>
  </si>
  <si>
    <t>- Se muestra descripción completa, categorías con precio y beneficios.
- Se muestra el cronograma/horario del evento.
- Se muestran las fechas disponibles cuando el evento dura varios días.
- Existe un botón de compra visible.
- Para eventos de varios días, el usuario puede identificar para qué día está comprando la entrada.</t>
  </si>
  <si>
    <t>HU-003</t>
  </si>
  <si>
    <t>Como administrador, quiero crear/editar la landing page del evento aceptado (título, foto, servicios, tickets, cronograma, ubicación y fecha o fechas) para publicarlo.</t>
  </si>
  <si>
    <t>- Se pueden editar todos los campos.
- Se pueden registrar una o varias fechas de duración del evento.
- Los cambios se reflejan en la landing pública al guardar.
- Si el evento dura varios días, sus fechas quedan disponibles para configurar y vender entradas por día.</t>
  </si>
  <si>
    <t>La información de fechas debe permitir diferenciar eventos de un día y eventos de varios días.</t>
  </si>
  <si>
    <t>HU-004</t>
  </si>
  <si>
    <t>Como cliente organizador, quiero poder solicitar la creación de varios eventos para gestionar más de uno en la plataforma.</t>
  </si>
  <si>
    <t>- Puedo enviar más de una solicitud de evento con mi cuenta.</t>
  </si>
  <si>
    <t>Media</t>
  </si>
  <si>
    <t>HU-005</t>
  </si>
  <si>
    <t>Landing Page Pública</t>
  </si>
  <si>
    <t>Público</t>
  </si>
  <si>
    <t>Como visitante, quiero ver un carrusel con todos los eventos disponibles para explorar las opciones.</t>
  </si>
  <si>
    <t>- El carrusel muestra los eventos publicados (activos).
- Cada card muestra al menos título e imagen.</t>
  </si>
  <si>
    <t>HU-006</t>
  </si>
  <si>
    <t>Como visitante, quiero hacer clic en un evento del carrusel para ver su detalle: descripción, categorías de entrada (General/VIP/Super VIP), precios, beneficios, horario y cronograma.</t>
  </si>
  <si>
    <t>- Se muestra descripción completa, categorías con precio y beneficios.
- Se muestra el cronograma/horario del evento.
- Existe un botón de compra visible.</t>
  </si>
  <si>
    <t>HU-007</t>
  </si>
  <si>
    <t>Cuenta de Usuario</t>
  </si>
  <si>
    <t>Usuario Normal</t>
  </si>
  <si>
    <t>Como usuario, quiero crear una cuenta para poder iniciar sesión e inscribirme a eventos ya existentes comprando entradas (es obligatorio estar registrado para comprar).</t>
  </si>
  <si>
    <t>- Puedo registrarme con mis datos básicos.
- No se puede comprar ninguna entrada sin haber iniciado sesión.</t>
  </si>
  <si>
    <t>Confirmado: el login es obligatorio para inscribirse/comprar entradas a eventos existentes.</t>
  </si>
  <si>
    <t>HU-008</t>
  </si>
  <si>
    <t>Como usuario, quiero recuperar mi contraseña olvidada para no perder el acceso a mi cuenta.</t>
  </si>
  <si>
    <t>- Puedo solicitar recuperación con mi correo registrado.
- Recibo un enlace o código para restablecerla.</t>
  </si>
  <si>
    <t>No confirmado en el audio; validar con el cliente si se requiere para el MVP (marcado con 'X' en el bosquejo original).</t>
  </si>
  <si>
    <t>HU-009</t>
  </si>
  <si>
    <t>Como administrador, quiero verificar los comprobantes de pago subidos por los usuarios y aprobar o rechazar la compra para confirmar que la transacción es real.</t>
  </si>
  <si>
    <t>- Veo la lista de compras pendientes de verificación con su comprobante.
- Puedo aprobar o rechazar cada una.
- Solo tras la aprobación se genera la entrada/QR del usuario.
- La entrada aprobada conserva la fecha específica seleccionada, cuando corresponda.</t>
  </si>
  <si>
    <t>Baja</t>
  </si>
  <si>
    <t>HU-010</t>
  </si>
  <si>
    <t>Compra de Entradas</t>
  </si>
  <si>
    <t>Como usuario, quiero comprar una entrada personal seleccionando la categoría (General/VIP/Super VIP) y, cuando el evento dure varios días, el día específico al que deseo asistir.</t>
  </si>
  <si>
    <t>- Selecciono categoría y cantidad.
- Si el evento dura varios días, selecciono una fecha específica para cada entrada.
- Veo precio, descuento y beneficios antes de confirmar.
- La entrada queda asociada a la fecha seleccionada.</t>
  </si>
  <si>
    <t>Nueva regla del cliente: en eventos de varios días se pueden comprar entradas para días específicos.</t>
  </si>
  <si>
    <t>Sprint 2</t>
  </si>
  <si>
    <t>HU-011</t>
  </si>
  <si>
    <t>Como usuario, quiero comprar entradas para otras personas ingresando su correo, nombre y celular y, cuando el evento dure varios días, seleccionar el día específico para cada entrada, ya que cada entrada es independiente y queda asociada a esa persona.</t>
  </si>
  <si>
    <t>- Cada entrada comprada para un tercero requiere correo, nombre y celular.
- En eventos de varios días, puedo seleccionar la fecha específica de cada entrada.
- La entrada queda vinculada a esos datos y a la fecha seleccionada, no a mi cuenta.</t>
  </si>
  <si>
    <t>Cada entrada es independiente. La fecha seleccionada debe quedar registrada para validar el acceso correspondiente.</t>
  </si>
  <si>
    <t>HU-012</t>
  </si>
  <si>
    <t>Como usuario, quiero subir el comprobante de pago (QR/transferencia) al comprar una entrada para que el administrador pueda verificar la transacción.</t>
  </si>
  <si>
    <t>- Puedo adjuntar una imagen del comprobante al finalizar la compra.
- La compra queda en estado 'pendiente de verificación'.</t>
  </si>
  <si>
    <t>El pago actual del sistema NO es pasarela automática: es transferencia por QR + comprobante subido manualmente.</t>
  </si>
  <si>
    <t>HU-013</t>
  </si>
  <si>
    <t>- Veo la lista de compras pendientes de verificación con su comprobante.
- Puedo aprobar o rechazar cada una.
- Solo tras la aprobación se genera la entrada/QR del usuario.</t>
  </si>
  <si>
    <t>HU-014</t>
  </si>
  <si>
    <t>Entrega y Vinculación de Manilla (QR)</t>
  </si>
  <si>
    <t>Admin / Sistema</t>
  </si>
  <si>
    <t>Como sistema, quiero generar un código QR imprimible (manilla) para cada entrada aprobada, incluyendo la fecha específica de la entrada cuando corresponda, para que el usuario pueda usarlo como identificación en el evento.</t>
  </si>
  <si>
    <t>- El QR se genera automáticamente al aprobar la compra.
- El QR es único por entrada.
- La entrada/QR queda asociado a la fecha específica seleccionada en eventos de varios días.</t>
  </si>
  <si>
    <t>Aplica a ambos tipos de acceso (ver HU-054): el QR generado aquí se asigna automáticamente al perfil si el evento es QR Digital (HU-055), o se vincula en la entrega física si el evento es QR Físico (HU-015, HU-053).</t>
  </si>
  <si>
    <t>HU-015</t>
  </si>
  <si>
    <t>Supervisor</t>
  </si>
  <si>
    <t>Como supervisor, quiero vincular la manilla física entregada en el evento con la cuenta del usuario, para asociar el QR físico a su cuenta digital.</t>
  </si>
  <si>
    <t>- Al entregar la manilla, el supervisor confirma la vinculación en el sistema.
- A partir de ahí, toda interacción se hace mediante ese QR físico.</t>
  </si>
  <si>
    <t>Confirmado: la vinculación del QR a la cuenta ocurre en el momento de la entrega física de la manilla, no en el registro en línea. Aplica únicamente cuando el evento está configurado como QR Físico/Manilla (ver HU-054).</t>
  </si>
  <si>
    <t>HU-016</t>
  </si>
  <si>
    <t>Control de Acceso al Evento</t>
  </si>
  <si>
    <t>Como supervisor, quiero escanear la manilla/QR del usuario en la entrada para verificar que su acceso sea válido para la fecha del evento.</t>
  </si>
  <si>
    <t>- El escaneo valida que el QR corresponda a una entrada vigente.
- Se verifica que la fecha de la entrada corresponda al día actual del evento.
- Se muestra el estado (válido / ya usado / inválido).
- Una entrada válida para un día específico no permite el acceso en una fecha distinta.</t>
  </si>
  <si>
    <t>Nueva regla: las entradas de eventos de varios días pueden ser válidas únicamente para el día comprado.</t>
  </si>
  <si>
    <t>HU-017</t>
  </si>
  <si>
    <t>Como supervisor, quiero registrar los ingresos y salidas del usuario en la fecha correspondiente a su entrada (puede entrar y salir varias veces) para llevar el control de aforo en tiempo real.</t>
  </si>
  <si>
    <t>- Cada escaneo registra si es entrada o salida.
- El usuario puede reingresar múltiples veces con el mismo QR durante la fecha para la que compró la entrada.
- Los registros de acceso incluyen la fecha del evento para mantener la trazabilidad.</t>
  </si>
  <si>
    <t>Confirmado: el ingreso/salida es repetible, no de un solo uso.</t>
  </si>
  <si>
    <t>HU-018</t>
  </si>
  <si>
    <t>Como supervisor, quiero ver el historial de personas a las que di ingreso para tener trazabilidad del control de acceso.</t>
  </si>
  <si>
    <t>- El historial registra fecha, hora y usuario ingresado/salido.</t>
  </si>
  <si>
    <t>El bosquejo original mencionaba también una foto del momento del ingreso; esto NO se confirmó en el audio. Validar con el cliente si aplica.</t>
  </si>
  <si>
    <t>Sprint 3</t>
  </si>
  <si>
    <t>HU-019</t>
  </si>
  <si>
    <t>Recarga de Saldo</t>
  </si>
  <si>
    <t>Recargador</t>
  </si>
  <si>
    <t>Como recargador, quiero escanear la manilla del usuario, ver sus datos e ingresar un monto para cargarle puntos a su billetera virtual global, de modo que el mismo saldo pueda utilizarse en distintos eventos.</t>
  </si>
  <si>
    <t>- Al escanear se muestra la información del usuario.
- Ingreso el monto pagado en efectivo y se le acreditan los mismos puntos (1 a 1), sin límite máximo.
- El saldo de la billetera global del usuario se actualiza de inmediato.
- El saldo no se crea ni se separa en una billetera independiente por evento.</t>
  </si>
  <si>
    <t>Cambio solicitado por el cliente: existe una única billetera global por usuario, compartida entre sus distintos eventos. Las recargas y compras mantienen su trazabilidad por evento, pero el saldo es global.</t>
  </si>
  <si>
    <t>HU-020</t>
  </si>
  <si>
    <t>Como recargador, quiero ver el historial de actividad de puntos (recargas y compras) que un usuario realizó dentro del evento en el que fui asignado, ya que mi visibilidad se limita a ese evento aunque el saldo del usuario sea global.</t>
  </si>
  <si>
    <t>- El historial solo muestra la actividad de puntos ocurrida en el evento asignado (recargas hechas por mí y compras del usuario en ese evento).
- Incluye nombre del usuario, monto y fecha.
- El historial identifica el evento de cada movimiento mostrado.
- No permite consultar el saldo ni movimientos completos de otros eventos más allá de lo necesario para mostrar la actividad del evento asignado.</t>
  </si>
  <si>
    <t>El saldo es global; la visibilidad del recargador continúa limitada al evento al que fue asignado.</t>
  </si>
  <si>
    <t>HU-021</t>
  </si>
  <si>
    <t>Como recargador, quiero poder gestionar errores de recarga para corregir transacciones mal ingresadas.</t>
  </si>
  <si>
    <t>- Puedo identificar y reportar una recarga incorrecta.</t>
  </si>
  <si>
    <t>No se detalló en el audio el flujo de corrección; queda pendiente de definir con el cliente. Actualizado: el cliente pidió resolver estos problemas explícitamente; ver HU-047, que cubre la validación y el manejo de errores de recarga.</t>
  </si>
  <si>
    <t>HU-022</t>
  </si>
  <si>
    <t>Compras dentro del Evento (Negocios)</t>
  </si>
  <si>
    <t>Ayudante</t>
  </si>
  <si>
    <t>Como ayudante, quiero seleccionar el producto que el cliente desea comprar y escanear su manilla/QR para cobrarlo con sus puntos.</t>
  </si>
  <si>
    <t>- Selecciono el producto del catálogo del negocio.
- Al escanear, se descuenta el monto del saldo de puntos del usuario.</t>
  </si>
  <si>
    <t>HU-023</t>
  </si>
  <si>
    <t>Sistema</t>
  </si>
  <si>
    <t>Como sistema, quiero bloquear el cobro cuando el usuario no tiene saldo de puntos suficiente, para evitar transacciones sin fondos.</t>
  </si>
  <si>
    <t>- Si el saldo es menor al monto de la compra, la transacción no se procesa.
- Se muestra un mensaje de saldo insuficiente al ayudante.</t>
  </si>
  <si>
    <t>Confirmado: 'no tiene saldo no le cobra'.</t>
  </si>
  <si>
    <t>HU-024</t>
  </si>
  <si>
    <t>Como ayudante, quiero ver el historial de ventas que realicé para llevar control de mi desempeño.</t>
  </si>
  <si>
    <t>- El historial muestra fecha, producto y monto de cada venta.</t>
  </si>
  <si>
    <t>HU-025</t>
  </si>
  <si>
    <t>Como sistema, quiero acreditar el dinero recaudado por las ventas de un negocio a la cuenta del Usuario Negocio (no directamente al ayudante) para centralizar el control financiero del negocio.</t>
  </si>
  <si>
    <t>- Toda venta hecha por un ayudante se refleja en el saldo/reportes del Usuario Negocio dueño del puesto.</t>
  </si>
  <si>
    <t>Confirmado: el dinero recaudado va al usuario negocio, no al ayudante.</t>
  </si>
  <si>
    <t>HU-026</t>
  </si>
  <si>
    <t>Devolución de Saldo (Puntos)</t>
  </si>
  <si>
    <t>Devolución</t>
  </si>
  <si>
    <t>Como encargado de devoluciones, quiero escanear la manilla/QR del usuario para identificarlo antes de procesar la devolución de sus puntos de acuerdo con las reglas de retiro del saldo.</t>
  </si>
  <si>
    <t>- El escaneo identifica correctamente al usuario y su billetera global.
- Se muestra el saldo disponible para devolución.</t>
  </si>
  <si>
    <t>HU-027</t>
  </si>
  <si>
    <t>Como encargado de devoluciones, quiero ver el saldo disponible de la billetera global del usuario para calcular el monto a devolver en efectivo.</t>
  </si>
  <si>
    <t>- Se muestra el saldo actual de la billetera global del usuario en tiempo real.
- El monto mostrado corresponde al saldo que puede ser retirado según las condiciones vigentes.</t>
  </si>
  <si>
    <t>HU-028</t>
  </si>
  <si>
    <t>Como encargado de devoluciones, quiero devolver en efectivo el saldo restante de la billetera global del usuario, cuando corresponda, para que pueda retirar sus puntos.</t>
  </si>
  <si>
    <t>- Al confirmar la devolución, el saldo de la billetera global del usuario queda en cero.
- Queda un registro de la devolución realizada.
- La devolución respeta el plazo establecido en los términos y condiciones: el usuario dispone de hasta 30 días después de finalizar el evento para retirar su saldo sobrante.
- Una vez vencido el plazo de 30 días sin retirar el saldo, este deja de estar disponible para el usuario.</t>
  </si>
  <si>
    <t>Nueva regla del cliente: después de finalizar el evento, el usuario tiene 30 días para retirar el saldo sobrante. Si no lo retira dentro de ese plazo, pierde el saldo. La billetera es global y compartida entre eventos.</t>
  </si>
  <si>
    <t>HU-029</t>
  </si>
  <si>
    <t>Como encargado de devoluciones, quiero ver el historial de devoluciones de puntos que realicé, limitado al evento que el administrador me asignó, para llevar control de los retiros efectuados.</t>
  </si>
  <si>
    <t>- El historial muestra usuario, monto y fecha de cada devolución.
- Solo se muestran devoluciones del evento asignado.
- Cada devolución queda asociada al evento en el que fue procesada, aunque la billetera del usuario sea global.</t>
  </si>
  <si>
    <t>HU-030</t>
  </si>
  <si>
    <t>Como encargado de devoluciones, quiero subir un comprobante o foto al momento de la devolución para validar que el dinero se entregó a la persona correcta.</t>
  </si>
  <si>
    <t>- Puedo adjuntar una foto al registrar la devolución.</t>
  </si>
  <si>
    <t>El cliente planteó esta duda explícitamente pero indicó que no está seguro de cómo debe resolverse. Actualizado: se resuelve mostrando datos adicionales (foto de primer ingreso y movimientos recientes) al momento de la devolución; ver HU-048.</t>
  </si>
  <si>
    <t>HU-031</t>
  </si>
  <si>
    <t>Gestión de Negocio</t>
  </si>
  <si>
    <t>Usuario Negocio</t>
  </si>
  <si>
    <t>Como usuario negocio, quiero crear uno o varios negocios/puestos para ofrecer mis productos dentro del evento.</t>
  </si>
  <si>
    <t>- Puedo registrar más de un negocio bajo mi cuenta.</t>
  </si>
  <si>
    <t>HU-032</t>
  </si>
  <si>
    <t>Como usuario negocio, quiero configurar el catálogo de productos de cada negocio (qué voy a vender) para que los ayudantes puedan cobrarlos.</t>
  </si>
  <si>
    <t>- Puedo agregar, editar y eliminar productos con nombre y precio.</t>
  </si>
  <si>
    <t>HU-033</t>
  </si>
  <si>
    <t>Como usuario negocio, quiero crear ayudantes y asignarles un rol (por ejemplo, cajero) para que me apoyen en el punto de venta durante el evento.</t>
  </si>
  <si>
    <t>- Puedo registrar un nuevo ayudante con sus datos de acceso.
- Puedo definir su rol/función dentro del negocio.</t>
  </si>
  <si>
    <t>HU-034</t>
  </si>
  <si>
    <t>Como usuario negocio, quiero asignar cada ayudante a un negocio específico para delegar las ventas correspondientes.</t>
  </si>
  <si>
    <t>- Puedo asociar uno o más ayudantes a un negocio.</t>
  </si>
  <si>
    <t>HU-035</t>
  </si>
  <si>
    <t>Dashboards y Reportes</t>
  </si>
  <si>
    <t>Como administrador, quiero un dashboard general de TODOS los eventos (ingresos al evento, salidas, reingresos, faltantes por ingresar, compras, recargas, devoluciones y saldos pendientes de retiro) para supervisar toda la plataforma.</t>
  </si>
  <si>
    <t>- Muestra datos consolidados de todos los eventos.
- Permite ver quién recarga más, quién devuelve más, etc.
- Permite identificar saldos pendientes de retiro y, cuando corresponda, los plazos de 30 días asociados al cierre de un evento.</t>
  </si>
  <si>
    <t>Confirmado: el admin ve TODO, a diferencia del cliente organizador que solo ve su propio evento. El saldo de usuario es global, pero las operaciones se pueden consultar por evento.</t>
  </si>
  <si>
    <t>HU-036</t>
  </si>
  <si>
    <t>Como cliente organizador, quiero un dashboard general de MI propio evento (ventas totales, ganancias, recargas, compras y devoluciones) para monitorear su desempeño.</t>
  </si>
  <si>
    <t>- Muestra ventas y ganancias solo del evento que administro.
- Las recargas, compras y devoluciones se muestran identificadas por ese evento.
- No muestra el saldo global completo de los usuarios como si perteneciera exclusivamente al evento.</t>
  </si>
  <si>
    <t>HU-037</t>
  </si>
  <si>
    <t>Como usuario negocio, quiero un dashboard con lo que sucede en mis propios negocios (qué se vende más, qué ayudante vende más) para monitorear mi desempeño.</t>
  </si>
  <si>
    <t>- Muestra ventas, productos más vendidos y desempeño por ayudante.
- Solo incluye datos de mis negocios.</t>
  </si>
  <si>
    <t>HU-038</t>
  </si>
  <si>
    <t>Como usuario, quiero ver el historial completo de mis puntos y compras (recargas, gastos, devoluciones y retiros de saldo) para llevar control de mi actividad en todos los eventos.</t>
  </si>
  <si>
    <t>- Puedo ver todas mis transacciones de puntos y movimientos de la billetera global, filtrables por evento cuando corresponda.
- Puedo identificar en qué evento se realizó cada recarga, compra o devolución.
- Puedo consultar el estado o plazo de retiro del saldo cuando exista un saldo pendiente de retiro.</t>
  </si>
  <si>
    <t>La billetera es única/global y se comparte entre eventos; el historial conserva el detalle de las operaciones realizadas en cada evento.</t>
  </si>
  <si>
    <t>HU-039</t>
  </si>
  <si>
    <t>Como cliente organizador, quiero un botón de reportes de ventas de mi evento para obtener información consolidada de lo vendido.</t>
  </si>
  <si>
    <t>- Puedo generar/exportar un reporte de ventas de mi evento.</t>
  </si>
  <si>
    <t>Confirmado: es un reporte de VENTAS. El cliente sugirió como idea futura (no confirmada como requerimiento actual) agregar además un botón separado para reportar incidencias.</t>
  </si>
  <si>
    <t>HU-040</t>
  </si>
  <si>
    <t>Gestión de Tickets y Categorías</t>
  </si>
  <si>
    <t>Como administrador, quiero crear categorías de entrada (General, VIP, Super VIP) con precio, beneficios y descuento y definir su disponibilidad para las fechas del evento para configurar la venta de tickets.</t>
  </si>
  <si>
    <t>- Puedo crear varias categorías por evento.
- Cada categoría tiene precio, beneficios/descripción y descuento opcional.
- En eventos de varios días, las categorías pueden estar disponibles para las fechas correspondientes del evento.
- La configuración permite que el sistema venda una entrada asociada a un día específico.</t>
  </si>
  <si>
    <t>La nueva regla exige que la compra de entradas pueda asociarse a una fecha específica cuando el evento dure varios días.</t>
  </si>
  <si>
    <t>HU-041</t>
  </si>
  <si>
    <t>Como administrador, quiero que el sistema genere el código QR de cada ticket vendido para que luego el supervisor lo asigne al usuario normal.</t>
  </si>
  <si>
    <t>- El QR se genera junto con la aprobación de la compra.</t>
  </si>
  <si>
    <t>HU-042</t>
  </si>
  <si>
    <t>Diseño de Mapa del Evento</t>
  </si>
  <si>
    <t>Como administrador, quiero visualizar el mapa de la zona del evento que me envía el cliente organizador (recibido junto con la solicitud del evento) como referencia durante la planificación.</t>
  </si>
  <si>
    <t>- El mapa recibido queda asociado a la solicitud/evento correspondiente (ver HU-001).</t>
  </si>
  <si>
    <t>Aclarado por el cliente: el admin NO diseña la ubicación del staff; solo recibe el mapa de la zona enviado por el organizador. Esta historia es en gran parte redundante con HU-001; se recomienda fusionarlas en el refinamiento del backlog.</t>
  </si>
  <si>
    <t>HU-043</t>
  </si>
  <si>
    <t>Como administrador, quiero ver el historial de cambios del mapa recibido para llevar control de versiones si el organizador lo actualiza.</t>
  </si>
  <si>
    <t>- Se registra cada actualización del mapa con fecha.</t>
  </si>
  <si>
    <t>Marcado con 'X' en el bosquejo original y no confirmado por el cliente. Candidato a eliminarse del backlog si no se necesita.</t>
  </si>
  <si>
    <t>HU-044</t>
  </si>
  <si>
    <t>Devolución de Entradas</t>
  </si>
  <si>
    <t>Admin / Devolución</t>
  </si>
  <si>
    <t>Como usuario, quiero poder solicitar la devolución de mi entrada al evento (no solo del saldo de puntos), para casos en que ya no pueda asistir.</t>
  </si>
  <si>
    <t>- (Pendiente de definir) Quién la autoriza, en qué plazo y bajo qué condiciones se devuelve el costo de la entrada.</t>
  </si>
  <si>
    <t>El cliente confirmó que existen DOS tipos de devolución: la de puntos (ya definida en HU-026 a HU-029) y la de la entrada al evento en sí. Sobre esta segunda el cliente no está seguro todavía; queda como anotación pendiente, no como requerimiento cerrado.</t>
  </si>
  <si>
    <t>HU-045</t>
  </si>
  <si>
    <t>(Idea futura) Como cliente organizador, quiero un botón separado para reportar incidencias de mi evento, distinto del reporte de ventas.</t>
  </si>
  <si>
    <t>- (Pendiente de definir) Qué tipo de incidencias se reportan y a quién llegan.</t>
  </si>
  <si>
    <t>Idea mencionada por el cliente como posible mejora futura, no confirmada como requerimiento del alcance actual.</t>
  </si>
  <si>
    <t>HU-046</t>
  </si>
  <si>
    <t>Supervisor / Sistema</t>
  </si>
  <si>
    <t>Como sistema, quiero capturar una foto de la persona en su primer ingreso al evento y volver a mostrarla cada vez que se registre una salida o un reingreso, para que el supervisor verifique que la manilla no fue pasada a otra persona.</t>
  </si>
  <si>
    <t>- El sistema captura una foto del usuario en el primer ingreso registrado con su manilla/QR.
- La foto capturada queda asociada a la entrada/manilla del usuario.
- En cada salida o reingreso posterior, se muestra la foto original al supervisor junto con los datos del usuario.
- El supervisor puede comparar la foto mostrada con la persona presente antes de autorizar el paso.</t>
  </si>
  <si>
    <t>Nueva funcionalidad solicitada por el cliente para evitar que la manilla se preste o se pase a otra persona en reingresos. Depende de HU-016 y HU-017; su resultado se reutiliza en HU-048 (devolución).</t>
  </si>
  <si>
    <t>HU-047</t>
  </si>
  <si>
    <t>Recargador / Sistema</t>
  </si>
  <si>
    <t>Como recargador, quiero que el sistema me ayude a resolver los problemas más comunes al momento de cargar puntos a una cuenta (escaneo fallido, monto mal ingresado o conexión interrumpida), para completar la recarga sin perder el dinero ya cobrado en efectivo.</t>
  </si>
  <si>
    <t>- El sistema valida el monto ingresado antes de confirmar la recarga.
- Si el escaneo de la manilla falla, permite reintentar o buscar al usuario manualmente.
- Si la recarga no se confirma por un error de conexión, la transacción queda marcada como pendiente en vez de perderse, y puede reintentarse.
- Queda un registro disponible para reportar incidencias de recarga.</t>
  </si>
  <si>
    <t>Resuelve la duda pendiente registrada en HU-021 sobre el manejo de errores de recarga; el cliente pidió explícitamente solucionar estos problemas.</t>
  </si>
  <si>
    <t>HU-048</t>
  </si>
  <si>
    <t>Como encargado de devoluciones, quiero ver datos adicionales del usuario (foto registrada, nombre completo y últimos movimientos) al momento de devolver el dinero, para confirmar que la manilla no fue tomada por otra persona antes de entregar el efectivo.</t>
  </si>
  <si>
    <t>- Al escanear la manilla para la devolución, se muestra la foto de primer ingreso del usuario (ver HU-046) y su nombre completo.
- Se muestran los últimos movimientos de la billetera del usuario como referencia adicional.
- El encargado de devoluciones puede confirmar visualmente que la persona presente coincide con los datos mostrados antes de continuar.</t>
  </si>
  <si>
    <t>Resuelve la duda pendiente en HU-030 sobre validar que el dinero llegue a la persona correcta. Depende de HU-046 (foto de ingreso).</t>
  </si>
  <si>
    <t>HU-049</t>
  </si>
  <si>
    <t>Como usuario negocio, quiero solicitar el retiro del dinero recaudado en cada uno de mis negocios, según las ganancias generadas por ese negocio específico, para disponer de mis ingresos.</t>
  </si>
  <si>
    <t>- Puedo ver el saldo disponible para retiro de cada negocio que administro, por separado.
- Puedo solicitar el retiro del saldo de un negocio específico.
- El monto disponible a retirar corresponde a las ganancias reales de ese negocio (ventas menos lo ya retirado).
- Queda un registro de cada retiro solicitado/realizado por negocio.</t>
  </si>
  <si>
    <t>Nueva funcionalidad solicitada por el cliente; el retiro es independiente por negocio, no global. Falta definir con el cliente el mecanismo de pago del retiro y si requiere aprobación del admin.</t>
  </si>
  <si>
    <t>HU-050</t>
  </si>
  <si>
    <t>Como administrador, quiero un panel de administración que me permita gestionar TODOS los eventos de la plataforma (no solo visualizar un dashboard consolidado), para entrar a cada evento, revisar su configuración y administrarlo individualmente.</t>
  </si>
  <si>
    <t>- El panel lista todos los eventos existentes (activos, pendientes y finalizados).
- Desde el panel puedo seleccionar un evento y acceder a su configuración y datos específicos.
- El panel de todos los eventos reemplaza/complementa la vista actual, que solo permite administrar un evento a la vez.</t>
  </si>
  <si>
    <t>Cambio solicitado explícitamente por el cliente: 'Falta el panel de administrador para todos los eventos, actualmente tenemos panel para un solo evento'. Se relaciona con el dashboard consolidado de HU-035 pero es un requerimiento de gestión, no solo de visualización.</t>
  </si>
  <si>
    <t>HU-051</t>
  </si>
  <si>
    <t>Como administrador, quiero una vista con todas las solicitudes de evento enviadas por los clientes organizadores, con toda la información que enviaron, para crear el evento a partir de esa solicitud sin pedir los datos de nuevo.</t>
  </si>
  <si>
    <t>- Se lista cada solicitud pendiente con todos los datos enviados por el cliente organizador (fechas, descripción, mapa, ubicación).
- Desde la solicitud, el administrador puede crear directamente la landing page del evento (ver HU-003) precargando los datos enviados.
- El estado de la solicitud cambia una vez que el evento fue creado a partir de ella.</t>
  </si>
  <si>
    <t>El cliente señaló que falta esta vista; complementa a HU-002 y HU-003, cerrando el flujo entre la solicitud recibida y la creación del evento.</t>
  </si>
  <si>
    <t>HU-052</t>
  </si>
  <si>
    <t>Como usuario, quiero ver mi perfil con todos mis datos personales y el saldo de mi billetera global, para consultar mi información y mis puntos disponibles en un solo lugar.</t>
  </si>
  <si>
    <t>- Se muestran mis datos personales registrados (nombre, correo, celular, etc.).
- Se muestra el saldo actual de mi billetera global.
- Puedo acceder a esta vista desde cualquier parte de la plataforma una vez iniciada sesión.</t>
  </si>
  <si>
    <t>El cliente pidió explícitamente esta vista. Complementa el historial de HU-038, pero aquí el foco es el perfil + saldo, no el historial de movimientos.</t>
  </si>
  <si>
    <t>HU-053</t>
  </si>
  <si>
    <t>Como supervisor, quiero entregar manillas físicas en distintos puntos de recogida del evento y asignar cada manilla al cliente que la reclama, para que la entrega se realice de forma física en varios puntos y no en uno solo.</t>
  </si>
  <si>
    <t>- Se pueden definir uno o varios puntos físicos de entrega de manillas para un mismo evento.
- En cada punto, el supervisor asignado puede vincular una manilla disponible a la cuenta del cliente que la reclama.
- El sistema registra en qué punto y por cuál supervisor fue entregada cada manilla.
- Una vez entregada, la manilla queda vinculada igual que en HU-015.</t>
  </si>
  <si>
    <t>Nueva funcionalidad solicitada por el cliente: manillas físicas en diversos puntos, donde el supervisor asigna la manilla al cliente que la recoge físicamente. Extiende HU-015 a múltiples puntos de entrega. Aplica solo cuando el evento está configurado como QR Físico/Manilla (ver HU-054).</t>
  </si>
  <si>
    <t>HU-054</t>
  </si>
  <si>
    <t>Como administrador, quiero seleccionar el tipo de acceso del evento (QR Digital o QR Físico/Manilla) al momento de crearlo, para definir cómo se vinculará el código QR a cada entrada.</t>
  </si>
  <si>
    <t>- Al crear o editar el evento, puedo elegir entre 'QR Digital' y 'QR Físico (Manilla)' como tipo de acceso.
- Esta configuración se guarda a nivel de evento y aplica a todas sus entradas.
- El tipo de acceso elegido determina el flujo posterior de asignación del QR: automático al perfil (QR Digital, ver HU-055) o mediante recogida física (QR Físico, ver HU-015 y HU-053).</t>
  </si>
  <si>
    <t>Nuevo requerimiento confirmado por el cliente tras hablar con el Ing. Eynar: el sistema debe preguntar el tipo de acceso al crear el evento. Se relaciona con HU-003 (creación de la landing/evento).</t>
  </si>
  <si>
    <t>HU-055</t>
  </si>
  <si>
    <t>Como sistema, quiero asignar automáticamente el código QR al perfil del usuario en cuanto se aprueba su entrada, cuando el evento esté configurado como QR Digital, para que pueda usarlo de inmediato dentro del evento sin pasar por un punto de entrega física.</t>
  </si>
  <si>
    <t>- Cuando el evento es de tipo QR Digital (ver HU-054), el QR generado en HU-014 se asigna directamente al perfil del usuario al aprobarse la entrada.
- El usuario puede ver y usar su QR digital desde su perfil (ver HU-052) para moverse dentro del evento.
- Para este tipo de evento no se requiere el paso de recogida de manilla física (HU-015 y HU-053 aplican solo a eventos con QR Físico).</t>
  </si>
  <si>
    <t>Nuevo requerimiento confirmado por el cliente tras hablar con el Ing. Eynar: define el flujo de QR Digital como alternativa a la manilla física. Depende de HU-054 y HU-014.</t>
  </si>
  <si>
    <t>Resumen del Backlog</t>
  </si>
  <si>
    <t>Historias por Épica</t>
  </si>
  <si>
    <t>N° de Historias</t>
  </si>
  <si>
    <t>Total</t>
  </si>
  <si>
    <t>Historias por Prioridad</t>
  </si>
  <si>
    <t>Balance de Carga por Sprint</t>
  </si>
  <si>
    <t>Puntos (Estimación SP)</t>
  </si>
  <si>
    <t>Notas, Inconsistencias y Preguntas Abiertas</t>
  </si>
  <si>
    <t>Tema</t>
  </si>
  <si>
    <t>Detalle</t>
  </si>
  <si>
    <t>Resuelto</t>
  </si>
  <si>
    <t>Rol 'Cliente' = organizador del evento</t>
  </si>
  <si>
    <t>Confirmado por el cliente: 'Cliente' es el organizador del evento. Los usuarios que se inscriben a eventos existentes (comprando entradas) son el 'Usuario Normal'. Ambos roles quedaron separados en el backlog.</t>
  </si>
  <si>
    <t>Billetera global y plazo de retiro</t>
  </si>
  <si>
    <t>Cambio confirmado por el cliente: ya no existe una billetera independiente por evento. Cada usuario tiene una única billetera global, cuyo saldo puede utilizarse en distintos eventos. Nueva regla: después de finalizar un evento, el usuario dispone de 30 días para retirar el saldo sobrante; si no lo retira dentro de ese plazo, pierde el saldo. Pendiente de precisión funcional: definir cómo se aplica el plazo de 30 días cuando el mismo usuario participa en otro evento antes de que venza el plazo y cómo se determina exactamente qué saldo queda sujeto al cierre de cada evento.</t>
  </si>
  <si>
    <t>Diseño del mapa del evento</t>
  </si>
  <si>
    <t>Confirmado: el admin NO diseña la ubicación del staff en el mapa. El cliente organizador es quien envía el mapa de la zona donde se realizará el evento (ya capturado en HU-001). HU-042 y HU-043 quedaron con prioridad baja y se recomienda fusionar HU-042 con HU-001 en el refinamiento.</t>
  </si>
  <si>
    <t>Botón de reportes del organizador</t>
  </si>
  <si>
    <t>Confirmado: es un reporte de VENTAS (HU-039). Como idea futura (no confirmada como requerimiento actual), el cliente mencionó agregar un botón separado para reportar incidencias (HU-045).</t>
  </si>
  <si>
    <t>Pendiente</t>
  </si>
  <si>
    <t>Devolución de la entrada al evento</t>
  </si>
  <si>
    <t>El cliente confirmó que existen DOS tipos de devolución: la de puntos/saldo (ya definida, HU-026 a HU-029) y la devolución de la entrada al evento en sí. Sobre esta segunda el cliente no está seguro de cómo debe funcionar; queda como anotación pendiente (HU-044).</t>
  </si>
  <si>
    <t>Comprobante/foto en la devolución de puntos</t>
  </si>
  <si>
    <t>Resuelto: el cliente pidió mostrar más datos al momento de la devolución para verificar identidad. Se agregó HU-048: al devolver, se muestra la foto de primer ingreso del usuario (ver HU-046), su nombre y sus últimos movimientos, para confirmar que la manilla no fue tomada por otra persona.</t>
  </si>
  <si>
    <t>Gestión de errores de recarga</t>
  </si>
  <si>
    <t>Resuelto: el cliente pidió explícitamente solucionar los problemas al cargar puntos a una cuenta. Se agregó HU-047, que cubre validación de montos, reintentos ante fallos de escaneo/conexión y registro de recargas pendientes.</t>
  </si>
  <si>
    <t>Recuperar contraseña e historial del mapa</t>
  </si>
  <si>
    <t>Elementos marcados con 'X' en el bosquejo original (HU-008, HU-043); no fueron confirmados ni descartados explícitamente por el cliente. Validar si entran en el alcance del MVP.</t>
  </si>
  <si>
    <t>Entradas para días específicos</t>
  </si>
  <si>
    <t>Nuevo requerimiento confirmado por el cliente: si un evento tiene varios días de duración, se podrán comprar entradas para un día específico. La fecha seleccionada debe quedar asociada a la entrada y validarse al momento del acceso.</t>
  </si>
  <si>
    <t>Aplicación del plazo de 30 días con billetera global</t>
  </si>
  <si>
    <t>La billetera es global y compartida entre eventos, pero el cliente indicó que después de finalizar un evento hay 30 días para retirar el saldo sobrante y luego se pierde. Falta confirmar cómo se comporta el plazo si el usuario utiliza la misma billetera en otro evento dentro de esos 30 días y cómo se identifica el saldo afectado por el cierre de un evento.</t>
  </si>
  <si>
    <t>Foto de verificación en reingresos</t>
  </si>
  <si>
    <t>Nueva funcionalidad pedida por el cliente: se captura una foto del usuario en su primer ingreso y se vuelve a mostrar en cada salida o reingreso, para asegurar que la manilla no se pase a otra persona (HU-046).</t>
  </si>
  <si>
    <t>Panel de administrador para todos los eventos</t>
  </si>
  <si>
    <t>El cliente indicó que actualmente solo existe panel para un evento a la vez. Se agregó HU-050: panel de administración que lista y permite gestionar todos los eventos de la plataforma.</t>
  </si>
  <si>
    <t>Vista de admin para crear eventos desde las solicitudes</t>
  </si>
  <si>
    <t>El cliente señaló que falta esta vista. Se agregó HU-051: vista con todas las solicitudes enviadas por los clientes organizadores, desde la cual el admin crea el evento precargando esos datos.</t>
  </si>
  <si>
    <t>Vista de perfil de usuario + billetera</t>
  </si>
  <si>
    <t>El cliente pidió esta vista. Se agregó HU-052: perfil con todos los datos del usuario y el saldo de su billetera global.</t>
  </si>
  <si>
    <t>Retiro de dinero por usuario negocio</t>
  </si>
  <si>
    <t>Nuevo requerimiento del cliente: cada usuario negocio puede retirar el dinero recaudado, calculado según las ganancias de cada negocio (no un monto global). Se agregó HU-049. Pendiente definir con el cliente el mecanismo de pago del retiro y si requiere aprobación del admin.</t>
  </si>
  <si>
    <t>Manillas físicas en varios puntos de entrega</t>
  </si>
  <si>
    <t>Nueva funcionalidad pedida por el cliente: existirán varios puntos físicos donde el supervisor asigna la manilla al cliente que la recoge, en lugar de un solo punto de entrega. Se agregó HU-053, que extiende HU-015.</t>
  </si>
  <si>
    <t>Tipo de acceso del evento: QR Digital vs QR Físico</t>
  </si>
  <si>
    <t>Dato confirmado por el cliente tras hablar con el Ing. Eynar: al crear un evento, el sistema debe pedir que se seleccione el tipo de acceso. QR Digital: el QR se asigna directamente al perfil del usuario al comprar/aprobar su entrada (HU-055). QR Físico (Manilla): el usuario debe recoger una manilla física; recién en ese momento se vincula el QR a su entrada (HU-015, HU-053). Se agregó HU-054 para la configuración de este tipo de acceso al crear el evento.</t>
  </si>
  <si>
    <t>Planificación de Sprints — Landing Pago por Negocio</t>
  </si>
  <si>
    <t>Distribución basada en una estimación de esfuerzo (Estimación SP, escala tipo Fibonacci simplificada: 1,2,3,5) asignada por complejidad, y en el orden de dependencia funcional del sistema (primero configuración y cuentas, luego el flujo de compra/acceso/consumo en el evento, y al final devoluciones y reportes que dependen de lo anterior).</t>
  </si>
  <si>
    <t>Objetivo: Configuración y cuentas — dejar la plataforma lista para publicar eventos: solicitud y publicación de eventos, tipo de acceso del evento (QR Digital / QR Físico), vista de solicitudes para el admin, landing pública, cuentas de usuario (incluido el perfil con billetera), categorías de tickets, fechas de eventos, mapa del evento, alta de negocios/ayudantes y el panel de administración de todos los eventos.</t>
  </si>
  <si>
    <t>Historia de Usuario (resumen)</t>
  </si>
  <si>
    <t>Como cliente organizador, quiero enviar una solicitud de evento al administrador indicando la fecha o fechas de duración, descripción, mapa de la zona y ubicación para pedir que mi evento se publique.</t>
  </si>
  <si>
    <t>Como administrador, quiero revisar y aceptar o rechazar las solicitudes de evento enviadas por los clientes organizadores para controlar qué eventos se publican.</t>
  </si>
  <si>
    <t>Como administrador, quiero seleccionar el tipo de acceso del evento (QR Digital o QR Físico/Manilla) al momento de crearlo, para definir cómo se vinculará el QR a cada entrada.</t>
  </si>
  <si>
    <t>Como administrador, quiero una vista con todas las solicitudes de evento enviadas por los clientes, con toda su información, para crear el evento a partir de esa solicitud sin pedir los datos de nuevo.</t>
  </si>
  <si>
    <t>Como visitante, quiero ver el detalle del evento con descripción, categorías, precios, beneficios, horario, cronograma y fechas disponibles para comprar entradas.</t>
  </si>
  <si>
    <t>Como usuario, quiero editar mi perfil para mantener mis datos actualizados.</t>
  </si>
  <si>
    <t>Como usuario, quiero ver mi perfil con todos mis datos personales y el saldo de mi billetera global en un solo lugar.</t>
  </si>
  <si>
    <t>Como administrador, quiero crear categorías de entrada con precio, beneficios y descuento y definir su disponibilidad para las fechas del evento.</t>
  </si>
  <si>
    <t>Como administrador, quiero un panel de administración para gestionar TODOS los eventos de la plataforma (no solo un dashboard consolidado), para entrar a cada evento y administrarlo individualmente.</t>
  </si>
  <si>
    <t>Total Sprint 1</t>
  </si>
  <si>
    <t>Objetivo: Flujo de compra, acceso y consumo en el evento — comprar entradas para fechas específicas cuando corresponda, verificar pagos, generar y asignar el QR según el tipo de acceso del evento (digital automático o físico mediante puntos de entrega), controlar el acceso por fecha con verificación fotográfica en reingresos, recargar saldo global resolviendo errores comunes, y realizar compras dentro del evento.</t>
  </si>
  <si>
    <t>Como usuario, quiero comprar una entrada personal seleccionando la categoría y, en eventos de varios días, el día específico al que deseo asistir.</t>
  </si>
  <si>
    <t>Como usuario, quiero comprar entradas para otras personas y, en eventos de varios días, seleccionar el día específico para cada entrada.</t>
  </si>
  <si>
    <t>Como administrador, quiero verificar los comprobantes de pago y aprobar o rechazar la compra, conservando la fecha específica de la entrada cuando corresponda.</t>
  </si>
  <si>
    <t>Como sistema, quiero generar un código QR único para cada entrada aprobada, asociado a su fecha específica cuando corresponda.</t>
  </si>
  <si>
    <t>Como sistema, quiero asignar automáticamente el QR al perfil del usuario al aprobarse su entrada, cuando el evento sea de tipo QR Digital, para que lo use de inmediato sin pasar por un punto físico.</t>
  </si>
  <si>
    <t>Como supervisor, quiero entregar manillas físicas en distintos puntos de recogida y asignar cada manilla al cliente que la reclama, para que la entrega se realice en varios puntos físicos.</t>
  </si>
  <si>
    <t>Como supervisor, quiero escanear la manilla/QR del usuario para verificar que su acceso sea válido para la fecha del evento.</t>
  </si>
  <si>
    <t>Como supervisor, quiero registrar los ingresos y salidas del usuario en la fecha correspondiente a su entrada para controlar el aforo en tiempo real.</t>
  </si>
  <si>
    <t>Como sistema, quiero capturar una foto en el primer ingreso y volver a mostrarla en cada salida o reingreso, para que el supervisor verifique que la manilla no fue pasada a otra persona.</t>
  </si>
  <si>
    <t>Como recargador, quiero cargar puntos a la billetera virtual global del usuario para que el mismo saldo pueda utilizarse en distintos eventos.</t>
  </si>
  <si>
    <t>Como recargador, quiero ver el historial de puntos de un usuario dentro del evento al que fui asignado, aunque el saldo del usuario sea global.</t>
  </si>
  <si>
    <t>Como recargador, quiero que el sistema me ayude a resolver los problemas más comunes al cargar puntos a una cuenta, para completar la recarga sin perder el dinero cobrado en efectivo.</t>
  </si>
  <si>
    <t>Total Sprint 2</t>
  </si>
  <si>
    <t>Objetivo: Cierre del evento, devoluciones y reportes — devolución de saldo global respetando el plazo de 30 días y validando la identidad del usuario, devolución de entradas, retiro de ganancias por negocio, e historiales/dashboards de todos los roles.</t>
  </si>
  <si>
    <t>Como encargado de devoluciones, quiero identificar al usuario mediante su manilla/QR para procesar la devolución de puntos de acuerdo con las reglas de retiro del saldo.</t>
  </si>
  <si>
    <t>Como encargado de devoluciones, quiero ver el saldo disponible de la billetera global del usuario para calcular el monto a devolver.</t>
  </si>
  <si>
    <t>Como encargado de devoluciones, quiero devolver en efectivo el saldo restante de la billetera global del usuario cuando corresponda, respetando el plazo de 30 días posterior al cierre del evento.</t>
  </si>
  <si>
    <t>Como encargado de devoluciones, quiero ver el historial de devoluciones de puntos realizadas en el evento que tengo asignado.</t>
  </si>
  <si>
    <t>Como encargado de devoluciones, quiero ver datos adicionales del usuario (foto de primer ingreso, nombre y últimos movimientos) al devolver el dinero, para confirmar que la manilla no fue tomada por otra persona.</t>
  </si>
  <si>
    <t>Como administrador, quiero un dashboard general de todos los eventos, incluyendo recargas, compras, devoluciones y saldos pendientes de retiro, para supervisar la plataforma.</t>
  </si>
  <si>
    <t>Como cliente organizador, quiero un dashboard de mi evento con ventas, ganancias y movimientos asociados al evento, sin tratar el saldo global de los usuarios como saldo exclusivo del evento.</t>
  </si>
  <si>
    <t>Como usuario, quiero ver el historial completo de mi billetera global y mis transacciones de puntos en todos los eventos.</t>
  </si>
  <si>
    <t>Total Sprint 3</t>
  </si>
  <si>
    <t>Mapa de Historias de Usuario del Sprint 1 — Dónde se desarrolla cada una</t>
  </si>
  <si>
    <t>Rutas relativas a la raíz del repositorio. FE = frontend/src/modules/ (las rutas que empiezan por components, utils, context o api están en frontend/src/). BE = backend/src/modules/ (las rutas que empiezan por common están en backend/src/). Estado según la revisión del código.</t>
  </si>
  <si>
    <t>Frontend (archivos)</t>
  </si>
  <si>
    <t>Backend (archivos)</t>
  </si>
  <si>
    <t>Base de datos (modelos)</t>
  </si>
  <si>
    <t>Enviar solicitud de evento con fecha(s), descripción, ubicación y mapa de la zona.</t>
  </si>
  <si>
    <t>Completa</t>
  </si>
  <si>
    <t>FE/organizer/SolicitudFormPage.jsx
utils/schedule.js
utils/validation.js</t>
  </si>
  <si>
    <t>BE/events/events.controller.ts (POST solicitudes)
events.service.ts (createSolicitud)
event-schedule.ts
dto/events.dto.ts
common/storage/storage.service.ts (subida del mapa)</t>
  </si>
  <si>
    <t>SolicitudEvento
MapaHistorial</t>
  </si>
  <si>
    <t>Mapa obligatorio (imagen o PDF). Estado inicial PENDIENTE. Soporta eventos de uno o varios días.</t>
  </si>
  <si>
    <t>Solicitar la creación de varios eventos con la misma cuenta.</t>
  </si>
  <si>
    <t>FE/organizer/MisSolicitudesPage.jsx</t>
  </si>
  <si>
    <t>BE/events/events.service.ts (misSolicitudes)</t>
  </si>
  <si>
    <t>SolicitudEvento</t>
  </si>
  <si>
    <t>No hay límite de solicitudes por cuenta.</t>
  </si>
  <si>
    <t>Revisar y aprobar o rechazar solicitudes (versión de la hoja Planificación de Sprints).</t>
  </si>
  <si>
    <t>FE/admin/SolicitudesListPage.jsx
admin/SolicitudDetailPage.jsx</t>
  </si>
  <si>
    <t>BE/events/events.service.ts (revisarSolicitud)
common/mail/mail.service.ts (correo al organizador)</t>
  </si>
  <si>
    <t>SolicitudEvento (estado, observaciones)</t>
  </si>
  <si>
    <t>En la hoja Backlog esta HU describe el detalle público del evento (duplica HU-006). El código cubre ambas versiones.</t>
  </si>
  <si>
    <t>Ver todas las solicitudes y crear el evento desde ellas con los datos precargados.</t>
  </si>
  <si>
    <t>FE/admin/SolicitudesListPage.jsx
admin/SolicitudDetailPage.jsx
admin/EventoEditPage.jsx (precarga con ?solicitudId=)</t>
  </si>
  <si>
    <t>BE/events/events.service.ts (allSolicitudes, createEvento con solicitudId)</t>
  </si>
  <si>
    <t>SolicitudEvento (estado EVENTO_CREADO)
Evento</t>
  </si>
  <si>
    <t>Al crear el evento la solicitud pasa a EVENTO_CREADO.</t>
  </si>
  <si>
    <t>Crear y editar la landing del evento (título, foto, servicios, cronograma, ubicación, fechas).</t>
  </si>
  <si>
    <t>FE/admin/EventoEditPage.jsx
components/form/CronogramaEditor.jsx
components/form/ListEditor.jsx</t>
  </si>
  <si>
    <t>BE/events/events.service.ts (createEvento, updateEvento, updateFoto, syncFechas)
event-content.ts
event-schedule.ts</t>
  </si>
  <si>
    <t>Evento
FechaEvento</t>
  </si>
  <si>
    <t>Para publicar exige foto, al menos una categoría y el enlace de Google Maps.</t>
  </si>
  <si>
    <t>Seleccionar el tipo de acceso del evento (QR Digital o QR Físico/Manilla).</t>
  </si>
  <si>
    <t>FE/admin/EventoEditPage.jsx (sección Acceso)
utils/labels.js</t>
  </si>
  <si>
    <t>BE/events/events.service.ts (createEvento)
dto/events.dto.ts</t>
  </si>
  <si>
    <t>Evento.tipoAcceso
enum TipoAcceso</t>
  </si>
  <si>
    <t>El código agrega una tercera opción, AMBOS, que el backlog no contempla.</t>
  </si>
  <si>
    <t>Ver un carrusel con los eventos publicados.</t>
  </si>
  <si>
    <t>FE/public/HomePage.jsx
public/EventsPage.jsx
components/EventCard.jsx</t>
  </si>
  <si>
    <t>BE/events/events.service.ts (publicList, GET eventos/public)</t>
  </si>
  <si>
    <t>Evento (estado PUBLICADO)</t>
  </si>
  <si>
    <t>Solo se listan eventos con estado PUBLICADO.</t>
  </si>
  <si>
    <t>Ver el detalle del evento: descripción, categorías, precios, beneficios, horario, cronograma y fechas.</t>
  </si>
  <si>
    <t>FE/public/EventDetailPage.jsx
components/event/CronogramaView.jsx</t>
  </si>
  <si>
    <t>BE/events/events.service.ts (publicDetail, GET eventos/public/:id)</t>
  </si>
  <si>
    <t>Evento
FechaEvento
CategoriaEntrada
CategoriaFecha</t>
  </si>
  <si>
    <t>El botón de compra es 'Ver entradas' / 'Inicia sesión para comprar'; la compra es del Sprint 2.</t>
  </si>
  <si>
    <t>Registrarse e iniciar sesión (obligatorio para comprar).</t>
  </si>
  <si>
    <t>FE/auth/RegisterPage.jsx
auth/LoginPage.jsx
context/AuthContext.jsx
components/layout/ProtectedRoute.jsx</t>
  </si>
  <si>
    <t>BE/auth/auth.service.ts (register, login)
auth/jwt.strategy.ts
common/guards/jwt-auth.guard.ts
common/guards/roles.guard.ts</t>
  </si>
  <si>
    <t>Usuario
UsuarioRol</t>
  </si>
  <si>
    <t>Registro público siempre como rol CLIENTE. Autenticación con JWT.</t>
  </si>
  <si>
    <t>Recuperar la contraseña olvidada.</t>
  </si>
  <si>
    <t>FE/auth/ForgotPasswordPage.jsx
auth/ResetPasswordPage.jsx</t>
  </si>
  <si>
    <t>BE/auth/auth.service.ts (forgotPassword, resetPassword)
common/security/tokens.ts
common/mail/mail.service.ts</t>
  </si>
  <si>
    <t>PasswordResetToken</t>
  </si>
  <si>
    <t>Token de un solo uso, guardado como hash SHA-256, con expiración de 60 minutos.</t>
  </si>
  <si>
    <t>Editar el perfil personal (según la hoja Planificación de Sprints).</t>
  </si>
  <si>
    <t>FE/profile/ProfilePage.jsx</t>
  </si>
  <si>
    <t>BE/users/users.controller.ts
users.service.ts (updateMe, updateFoto, removeFoto)
dto/update-profile.dto.ts
common/security/user-identity.ts</t>
  </si>
  <si>
    <t>Usuario</t>
  </si>
  <si>
    <t>En la hoja Backlog esta HU es 'verificar comprobantes' (duplica HU-013 del Sprint 2).</t>
  </si>
  <si>
    <t>Ver el perfil con datos personales y saldo de la billetera global.</t>
  </si>
  <si>
    <t>Parcial</t>
  </si>
  <si>
    <t>FE/profile/ProfilePage.jsx (datos personales)
components/layout/SaldoEvento.jsx (saldo, dentro de Navbar.jsx)</t>
  </si>
  <si>
    <t>BE/users/users.service.ts (me, saldo)</t>
  </si>
  <si>
    <t>Usuario
SaldoEvento</t>
  </si>
  <si>
    <t>Falta mostrar el saldo en el perfil. El saldo está modelado por evento (SaldoEvento) y no como billetera global; el navbar lo muestra solo a CLIENTE y solo en eventos de hoy.</t>
  </si>
  <si>
    <t>Crear uno o varios negocios o puestos.</t>
  </si>
  <si>
    <t>FE/business/NegociosPage.jsx
components/layout/BusinessLayout.jsx</t>
  </si>
  <si>
    <t>BE/businesses/businesses.service.ts (createNegocio, misNegocios, updateNegocio)</t>
  </si>
  <si>
    <t>Negocio</t>
  </si>
  <si>
    <t>Rutas protegidas para JEFE_NEGOCIO y ADMIN.</t>
  </si>
  <si>
    <t>Configurar el catálogo de productos de cada negocio.</t>
  </si>
  <si>
    <t>FE/business/ProductosPage.jsx</t>
  </si>
  <si>
    <t>BE/businesses/businesses.service.ts (createProducto, updateProducto, deleteProducto)
dto/businesses.dto.ts</t>
  </si>
  <si>
    <t>Producto</t>
  </si>
  <si>
    <t>Precio validado entre 0 y 100.000 Bs con hasta 2 decimales.</t>
  </si>
  <si>
    <t>Crear ayudantes y asignarles un rol (por ejemplo, cajero).</t>
  </si>
  <si>
    <t>FE/business/AyudantesPage.jsx</t>
  </si>
  <si>
    <t>BE/businesses/businesses.service.ts (createAyudante)
common/mail/mail.service.ts (bienvenida)</t>
  </si>
  <si>
    <t>Usuario (rol AYUDANTE)
AyudanteNegocio.rolFuncion</t>
  </si>
  <si>
    <t>El rol por defecto es 'cajero'.</t>
  </si>
  <si>
    <t>Asignar cada ayudante a un negocio específico.</t>
  </si>
  <si>
    <t>FE/business/AyudantesPage.jsx (onReasignar)</t>
  </si>
  <si>
    <t>BE/businesses/businesses.service.ts (asignarAyudante)</t>
  </si>
  <si>
    <t>AyudanteNegocio.negocioId</t>
  </si>
  <si>
    <t>Verifica que el negocio y el ayudante pertenezcan al mismo jefe.</t>
  </si>
  <si>
    <t>Crear categorías con precio, beneficios y descuento, y definir su disponibilidad por fecha.</t>
  </si>
  <si>
    <t>FE/admin/CategoriasPage.jsx</t>
  </si>
  <si>
    <t>BE/tickets/tickets.service.ts (createCategoria, updateCategoria, resolveFechas, ensureCapacidad)
dto/tickets.dto.ts</t>
  </si>
  <si>
    <t>CategoriaEntrada
CategoriaFecha</t>
  </si>
  <si>
    <t>Falta el descuento opcional: no existe en el esquema, el DTO ni la interfaz. Sí están precio, beneficios, cupo y días disponibles.</t>
  </si>
  <si>
    <t>Generar el código QR de cada ticket.</t>
  </si>
  <si>
    <t>FE/admin/components/CodigosQrPanel.jsx</t>
  </si>
  <si>
    <t>BE/tickets/ticket-codes.ts (código EVX-XXXX-XXXX-XXXX)
tickets.service.ts (addCodes, syncPool, listCodigos con librería qrcode)</t>
  </si>
  <si>
    <t>TicketPool</t>
  </si>
  <si>
    <t>El pool de códigos se pre-genera al crear la categoría; la asignación a una compra es del Sprint 2.</t>
  </si>
  <si>
    <t>Visualizar el mapa de la zona enviado por el organizador.</t>
  </si>
  <si>
    <t>FE/admin/SolicitudDetailPage.jsx
components/MapaPreview.jsx</t>
  </si>
  <si>
    <t>BE/events/events.service.ts (getSolicitud, createEvento)</t>
  </si>
  <si>
    <t>SolicitudEvento.mapaUrl
Evento.mapaUrl</t>
  </si>
  <si>
    <t>El mapa de la solicitud pasa al evento al crearlo.</t>
  </si>
  <si>
    <t>Ver el historial de cambios del mapa.</t>
  </si>
  <si>
    <t>FE/admin/MapaHistorialPage.jsx
organizer/MisSolicitudesPage.jsx (el organizador actualiza el mapa)</t>
  </si>
  <si>
    <t>BE/events/events.service.ts (updateMapaSolicitud, updateMapa, mapaHistorial)</t>
  </si>
  <si>
    <t>MapaHistorial
enum MapChangeTipo</t>
  </si>
  <si>
    <t>Cada versión queda con fecha y tipo (CREACION o ACTUALIZACION).</t>
  </si>
  <si>
    <t>Panel de administración para gestionar todos los eventos.</t>
  </si>
  <si>
    <t>FE/admin/AdminDashboardPage.jsx
admin/EventosAdminPage.jsx
admin/components/EventoDetalleModal.jsx
components/layout/AdminLayout.jsx
components/layout/AdminSidebar.jsx</t>
  </si>
  <si>
    <t>BE/events/events.service.ts (adminAll, adminDetail)
events.controller.ts (GET eventos/admin/all)</t>
  </si>
  <si>
    <t>Evento</t>
  </si>
  <si>
    <t>Lista eventos de cualquier estado con organizador, fechas, categorías y tipo de acceso.</t>
  </si>
  <si>
    <t>Componentes transversales del Sprint 1</t>
  </si>
  <si>
    <t>Componente</t>
  </si>
  <si>
    <t>Archivos</t>
  </si>
  <si>
    <t>Función</t>
  </si>
  <si>
    <t>Base de datos</t>
  </si>
  <si>
    <t>backend/prisma/schema.prisma
backend/prisma/migrations/ (6 migraciones)
backend/prisma/seed.ts</t>
  </si>
  <si>
    <t>Esquema completo con Prisma y MySQL. La migración sprint1_fechas_evento_varios_dias soporta eventos de varios días. El seed crea usuarios de prueba para cada rol.</t>
  </si>
  <si>
    <t>Autenticación y autorización</t>
  </si>
  <si>
    <t>backend/src/modules/auth/
backend/src/common/guards/
backend/src/common/decorators/roles.decorator.ts
frontend/src/context/AuthContext.jsx
frontend/src/components/layout/ProtectedRoute.jsx</t>
  </si>
  <si>
    <t>JWT, guards de rol en el backend y rutas protegidas por rol en el frontend.</t>
  </si>
  <si>
    <t>Validación y seguridad</t>
  </si>
  <si>
    <t>backend/src/main.ts
backend/src/app.module.ts
backend/src/common/validation/validators.ts
backend/src/config/env.validation.ts</t>
  </si>
  <si>
    <t>Helmet, CORS restringido, rate limiting, ValidationPipe estricto (whitelist), validación de variables de entorno.</t>
  </si>
  <si>
    <t>Servicios comunes</t>
  </si>
  <si>
    <t>backend/src/common/storage/storage.service.ts
backend/src/common/mail/mail.service.ts</t>
  </si>
  <si>
    <t>Subida de archivos a Cloudinary validando su contenido real, y envío de correos por SMTP.</t>
  </si>
  <si>
    <t>Capa API del frontend</t>
  </si>
  <si>
    <t>frontend/src/api/axios.js
frontend/src/api/*.api.js</t>
  </si>
  <si>
    <t>Cliente axios único con token JWT; un archivo por módulo con las llamadas al backend.</t>
  </si>
  <si>
    <t>Componentes reutilizables</t>
  </si>
  <si>
    <t>frontend/src/components/ (form, ui, layout, event)</t>
  </si>
  <si>
    <t>Field, Modal, ConfirmDialog, Toast, layouts y sidebars compartidos por las pantallas.</t>
  </si>
  <si>
    <t>Invitaciones por correo (extra)</t>
  </si>
  <si>
    <t>backend/src/modules/admin-users/
frontend/src/modules/admin/UsuariosPage.jsx
frontend/src/modules/auth/AceptarInvitacionPage.jsx</t>
  </si>
  <si>
    <t>No está en el backlog: el admin invita por correo a admins, organizadores y jefes de negocio.</t>
  </si>
  <si>
    <t>Mapa de Historias de Usuario del Sprint 2 — Separación por módulos de trabajo</t>
  </si>
  <si>
    <t>Las 18 historias del Sprint 2 (61 SP) agrupadas en 5 módulos de trabajo. Resumen, épica, rol, prioridad y SP provienen de la hoja 'Planificación de Sprints'; los criterios de aceptación y observaciones, de la hoja 'Backlog'. Las columnas Frontend / Backend / Base de datos quedan por completar cuando se revise el código del Sprint 2 (mismo formato que 'Mapa HU Sprint 1'). Estado "Por revisar" = aún sin verificar contra el código.</t>
  </si>
  <si>
    <t>Módulo</t>
  </si>
  <si>
    <t>SP</t>
  </si>
  <si>
    <t>Criterios de aceptación</t>
  </si>
  <si>
    <t>A: Compra de Entradas y Verificación de Pagos</t>
  </si>
  <si>
    <t>Por revisar</t>
  </si>
  <si>
    <t>B: Generación y Vinculación de QR / Manillas</t>
  </si>
  <si>
    <t>C: Control de Acceso y Verificación Fotográfica</t>
  </si>
  <si>
    <t>D: Recarga de Billetera Virtual Global</t>
  </si>
  <si>
    <t>E: Consumo y Cobro en Puntos de Venta (Negocios)</t>
  </si>
  <si>
    <t>Resumen de carga de trabajo por módulo</t>
  </si>
  <si>
    <t>N° de HUs</t>
  </si>
  <si>
    <t>Story Points</t>
  </si>
  <si>
    <t>Propósito del módulo</t>
  </si>
  <si>
    <t>Roles principales</t>
  </si>
  <si>
    <t>Gestionar la adquisición de tickets por parte del usuario y la validación administrativa del comprobante de pago.</t>
  </si>
  <si>
    <t>Usuario Normal, Admin</t>
  </si>
  <si>
    <t>Emitir los QR únicos y asociarlos al usuario, ya sea de forma digital (perfil) o con la entrega de la manilla física en el evento.</t>
  </si>
  <si>
    <t>Sistema, Admin, Supervisor</t>
  </si>
  <si>
    <t>Garantizar el ingreso seguro: validación por fecha, control de ingresos/salidas y prevención de suplantación con foto del primer ingreso.</t>
  </si>
  <si>
    <t>Supervisor, Sistema</t>
  </si>
  <si>
    <t>Cargar puntos a la billetera única del usuario, consultar el historial del evento y resolver los fallos comunes de recarga.</t>
  </si>
  <si>
    <t>Recargador, Sistema</t>
  </si>
  <si>
    <t>Procesar las ventas de los puestos escaneando la manilla/QR, bloquear cobros sin saldo y acreditar lo recaudado al Usuario Negocio.</t>
  </si>
  <si>
    <t>Ayudante, Sistema</t>
  </si>
  <si>
    <t>TOTAL SPRINT 2</t>
  </si>
  <si>
    <t>Total según hoja 'Planificación de Sprints'</t>
  </si>
  <si>
    <t>Diferencia (debe ser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</si>
</sst>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charset val="1"/>
    </font>
    <font>
      <b/>
      <sz val="14"/>
      <color rgb="FF1F4E78"/>
      <name val="Arial"/>
      <charset val="1"/>
    </font>
    <font>
      <sz val="10"/>
      <color rgb="FF595959"/>
      <name val="Arial"/>
      <charset val="1"/>
    </font>
    <font>
      <b/>
      <sz val="11"/>
      <color rgb="FFFFFFFF"/>
      <name val="Arial"/>
      <charset val="1"/>
    </font>
    <font>
      <b/>
      <sz val="10"/>
      <name val="Arial"/>
      <charset val="1"/>
    </font>
    <font>
      <sz val="10"/>
      <name val="Arial"/>
      <charset val="1"/>
    </font>
    <font>
      <b/>
      <sz val="12"/>
      <color rgb="FF1F4E78"/>
      <name val="Arial"/>
      <charset val="1"/>
    </font>
    <font>
      <sz val="10"/>
      <color rgb="FF008000"/>
      <name val="Arial"/>
      <charset val="1"/>
    </font>
    <font>
      <b/>
      <sz val="12"/>
      <color rgb="FFFFFFFF"/>
      <name val="Arial"/>
      <charset val="1"/>
    </font>
    <font>
      <i/>
      <sz val="10"/>
      <color rgb="FF595959"/>
      <name val="Arial"/>
      <charset val="1"/>
    </font>
  </fonts>
  <fills count="13">
    <fill>
      <patternFill patternType="none"/>
    </fill>
    <fill>
      <patternFill patternType="gray125"/>
    </fill>
    <fill>
      <patternFill patternType="solid">
        <fgColor rgb="FF1F4E78"/>
        <bgColor rgb="FF003366"/>
      </patternFill>
    </fill>
    <fill>
      <patternFill patternType="solid">
        <fgColor rgb="FFDDEBF7"/>
        <bgColor rgb="FFD9E2F3"/>
      </patternFill>
    </fill>
    <fill>
      <patternFill patternType="solid">
        <fgColor rgb="FFFFF2CC"/>
        <bgColor rgb="FFFCE4D6"/>
      </patternFill>
    </fill>
    <fill>
      <patternFill patternType="solid">
        <fgColor rgb="FFE2EFDA"/>
        <bgColor rgb="FFDDEBF7"/>
      </patternFill>
    </fill>
    <fill>
      <patternFill patternType="solid">
        <fgColor rgb="FFFCE4D6"/>
        <bgColor rgb="FFFFF2CC"/>
      </patternFill>
    </fill>
    <fill>
      <patternFill patternType="solid">
        <fgColor rgb="FFEDE7F6"/>
        <bgColor rgb="FFDDEBF7"/>
      </patternFill>
    </fill>
    <fill>
      <patternFill patternType="solid">
        <fgColor rgb="FFD9D9D9"/>
        <bgColor rgb="FFD9E2F3"/>
      </patternFill>
    </fill>
    <fill>
      <patternFill patternType="solid">
        <fgColor rgb="FFF8CBAD"/>
        <bgColor rgb="FFFFE699"/>
      </patternFill>
    </fill>
    <fill>
      <patternFill patternType="solid">
        <fgColor rgb="FFFFE699"/>
        <bgColor rgb="FFFFF2CC"/>
      </patternFill>
    </fill>
    <fill>
      <patternFill patternType="solid">
        <fgColor rgb="FFC6E0B4"/>
        <bgColor rgb="FFD9D9D9"/>
      </patternFill>
    </fill>
    <fill>
      <patternFill patternType="solid">
        <fgColor rgb="FFD9E2F3"/>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5">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5" fillId="4" borderId="1" xfId="0" applyFont="1" applyFill="1" applyBorder="1" applyAlignment="1">
      <alignment vertical="top" wrapText="1"/>
    </xf>
    <xf numFmtId="0" fontId="4" fillId="5" borderId="1" xfId="0" applyFont="1" applyFill="1" applyBorder="1" applyAlignment="1">
      <alignment vertical="top" wrapText="1"/>
    </xf>
    <xf numFmtId="0" fontId="4" fillId="4"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xf>
    <xf numFmtId="0" fontId="4" fillId="8" borderId="1" xfId="0" applyFont="1" applyFill="1" applyBorder="1" applyAlignment="1">
      <alignment horizontal="center" vertical="top"/>
    </xf>
    <xf numFmtId="0" fontId="7" fillId="0" borderId="1" xfId="0" applyFont="1" applyBorder="1" applyAlignment="1">
      <alignment horizontal="center" vertical="top" wrapText="1"/>
    </xf>
    <xf numFmtId="0" fontId="5" fillId="5"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8" fillId="2" borderId="0" xfId="0" applyFont="1" applyFill="1"/>
    <xf numFmtId="0" fontId="0" fillId="2" borderId="0" xfId="0" applyFill="1"/>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5" fillId="9"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4" fillId="12" borderId="0" xfId="0" applyFont="1" applyFill="1" applyAlignment="1">
      <alignment horizontal="center" vertical="center" wrapText="1"/>
    </xf>
    <xf numFmtId="0" fontId="4" fillId="0" borderId="0" xfId="0" applyFont="1" applyAlignment="1">
      <alignment horizontal="center" vertical="center" wrapText="1"/>
    </xf>
    <xf numFmtId="0" fontId="4" fillId="6" borderId="0" xfId="0" applyFont="1" applyFill="1" applyAlignment="1">
      <alignment horizontal="center" vertical="center" wrapText="1"/>
    </xf>
    <xf numFmtId="0" fontId="4" fillId="5" borderId="0" xfId="0" applyFont="1" applyFill="1" applyAlignment="1">
      <alignment horizontal="center" vertical="center" wrapText="1"/>
    </xf>
    <xf numFmtId="0" fontId="0" fillId="0" borderId="0" xfId="0" applyAlignment="1">
      <alignment wrapText="1"/>
    </xf>
    <xf numFmtId="0" fontId="4" fillId="9" borderId="1" xfId="0" applyFont="1" applyFill="1" applyBorder="1" applyAlignment="1">
      <alignment horizontal="center" vertical="center" wrapText="1"/>
    </xf>
    <xf numFmtId="0" fontId="4" fillId="0" borderId="0" xfId="0" applyFont="1"/>
    <xf numFmtId="0" fontId="5" fillId="0" borderId="1" xfId="0" applyFont="1" applyBorder="1"/>
    <xf numFmtId="0" fontId="4" fillId="0" borderId="1" xfId="0" applyFont="1" applyBorder="1"/>
    <xf numFmtId="0" fontId="4" fillId="0" borderId="1" xfId="0" applyFont="1" applyBorder="1" applyAlignment="1">
      <alignment horizontal="center" vertical="center" wrapText="1"/>
    </xf>
    <xf numFmtId="0" fontId="5" fillId="9" borderId="1" xfId="0" applyFont="1" applyFill="1" applyBorder="1"/>
    <xf numFmtId="0" fontId="5" fillId="10" borderId="1" xfId="0" applyFont="1" applyFill="1" applyBorder="1"/>
    <xf numFmtId="0" fontId="5" fillId="12" borderId="1" xfId="0" applyFont="1" applyFill="1" applyBorder="1"/>
    <xf numFmtId="0" fontId="5" fillId="6" borderId="1" xfId="0" applyFont="1" applyFill="1" applyBorder="1"/>
    <xf numFmtId="0" fontId="5" fillId="5" borderId="1" xfId="0" applyFont="1" applyFill="1" applyBorder="1"/>
    <xf numFmtId="0" fontId="5" fillId="12"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0" borderId="1" xfId="0" applyFont="1" applyBorder="1" applyAlignment="1">
      <alignment vertical="top" wrapText="1"/>
    </xf>
    <xf numFmtId="0" fontId="4" fillId="8" borderId="1" xfId="0" applyFont="1" applyFill="1" applyBorder="1" applyAlignment="1">
      <alignment vertical="top"/>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1" fillId="0" borderId="0" xfId="0" applyFont="1" applyAlignment="1">
      <alignment wrapText="1"/>
    </xf>
    <xf numFmtId="0" fontId="4" fillId="0" borderId="0" xfId="0" applyFont="1" applyAlignment="1">
      <alignment horizontal="right"/>
    </xf>
    <xf numFmtId="0" fontId="8" fillId="2" borderId="0" xfId="0" applyFont="1" applyFill="1" applyAlignment="1">
      <alignment vertical="center"/>
    </xf>
    <xf numFmtId="0" fontId="9" fillId="0" borderId="0" xfId="0" applyFont="1" applyAlignment="1">
      <alignment horizontal="left" vertical="top" wrapText="1"/>
    </xf>
    <xf numFmtId="0" fontId="4" fillId="0" borderId="1" xfId="0" applyFont="1" applyBorder="1" applyAlignment="1">
      <alignment vertical="top" wrapText="1"/>
    </xf>
    <xf numFmtId="0" fontId="3" fillId="2" borderId="1" xfId="0" applyFont="1" applyFill="1" applyBorder="1" applyAlignment="1">
      <alignment horizontal="center" vertical="center"/>
    </xf>
    <xf numFmtId="0" fontId="1" fillId="0" borderId="0" xfId="0" applyFont="1" applyAlignment="1"/>
    <xf numFmtId="0" fontId="9" fillId="0" borderId="0" xfId="0" applyFont="1" applyAlignment="1"/>
    <xf numFmtId="0" fontId="6" fillId="0" borderId="0" xfId="0" applyFont="1" applyAlignme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DDEBF7"/>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D9E2F3"/>
      <rgbColor rgb="00E2EFDA"/>
      <rgbColor rgb="00FFE699"/>
      <rgbColor rgb="00C6E0B4"/>
      <rgbColor rgb="00FCE4D6"/>
      <rgbColor rgb="00EDE7F6"/>
      <rgbColor rgb="00F8CBAD"/>
      <rgbColor rgb="003366FF"/>
      <rgbColor rgb="0033CCCC"/>
      <rgbColor rgb="0099CC00"/>
      <rgbColor rgb="00FFCC00"/>
      <rgbColor rgb="00FF9900"/>
      <rgbColor rgb="00FF6600"/>
      <rgbColor rgb="0059595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showGridLines="0" workbookViewId="0">
      <pane ySplit="4" topLeftCell="A5" activePane="bottomLeft" state="frozen"/>
      <selection pane="bottomLeft" activeCell="H20" sqref="H20"/>
    </sheetView>
  </sheetViews>
  <sheetFormatPr defaultColWidth="8.7109375" defaultRowHeight="15"/>
  <cols>
    <col min="1" max="1" width="9" customWidth="1"/>
    <col min="2" max="2" width="26" customWidth="1"/>
    <col min="3" max="3" width="20" customWidth="1"/>
    <col min="4" max="4" width="46" customWidth="1"/>
    <col min="5" max="5" width="40" customWidth="1"/>
    <col min="6" max="6" width="11" customWidth="1"/>
    <col min="7" max="7" width="13" customWidth="1"/>
    <col min="8" max="8" width="42" customWidth="1"/>
    <col min="9" max="9" width="14" customWidth="1"/>
    <col min="10" max="10" width="12" customWidth="1"/>
  </cols>
  <sheetData>
    <row r="1" spans="1:10" ht="18" customHeight="1">
      <c r="A1" s="52" t="s">
        <v>0</v>
      </c>
      <c r="B1" s="52"/>
      <c r="C1" s="52"/>
      <c r="D1" s="52"/>
      <c r="E1" s="52"/>
      <c r="F1" s="52"/>
      <c r="G1" s="52"/>
      <c r="H1" s="52"/>
      <c r="I1" s="52"/>
      <c r="J1" s="52"/>
    </row>
    <row r="2" spans="1:10">
      <c r="A2" s="53" t="s">
        <v>1</v>
      </c>
      <c r="B2" s="53"/>
      <c r="C2" s="53"/>
      <c r="D2" s="53"/>
      <c r="E2" s="53"/>
      <c r="F2" s="53"/>
      <c r="G2" s="53"/>
      <c r="H2" s="53"/>
      <c r="I2" s="53"/>
      <c r="J2" s="53"/>
    </row>
    <row r="4" spans="1:10" ht="30" customHeight="1">
      <c r="A4" s="1" t="s">
        <v>2</v>
      </c>
      <c r="B4" s="1" t="s">
        <v>3</v>
      </c>
      <c r="C4" s="1" t="s">
        <v>4</v>
      </c>
      <c r="D4" s="1" t="s">
        <v>5</v>
      </c>
      <c r="E4" s="1" t="s">
        <v>6</v>
      </c>
      <c r="F4" s="1" t="s">
        <v>7</v>
      </c>
      <c r="G4" s="1" t="s">
        <v>8</v>
      </c>
      <c r="H4" s="1" t="s">
        <v>9</v>
      </c>
      <c r="I4" s="1" t="s">
        <v>10</v>
      </c>
      <c r="J4" s="1" t="s">
        <v>11</v>
      </c>
    </row>
    <row r="5" spans="1:10" ht="51" customHeight="1">
      <c r="A5" s="18" t="s">
        <v>12</v>
      </c>
      <c r="B5" s="19" t="s">
        <v>13</v>
      </c>
      <c r="C5" s="19" t="s">
        <v>14</v>
      </c>
      <c r="D5" s="19" t="s">
        <v>15</v>
      </c>
      <c r="E5" s="19" t="s">
        <v>16</v>
      </c>
      <c r="F5" s="20" t="s">
        <v>17</v>
      </c>
      <c r="G5" s="21" t="s">
        <v>18</v>
      </c>
      <c r="H5" s="19" t="s">
        <v>19</v>
      </c>
      <c r="I5" s="21">
        <v>3</v>
      </c>
      <c r="J5" s="39" t="s">
        <v>20</v>
      </c>
    </row>
    <row r="6" spans="1:10" ht="51" customHeight="1">
      <c r="A6" s="18" t="s">
        <v>21</v>
      </c>
      <c r="B6" s="19" t="s">
        <v>13</v>
      </c>
      <c r="C6" s="19" t="s">
        <v>22</v>
      </c>
      <c r="D6" s="19" t="s">
        <v>23</v>
      </c>
      <c r="E6" s="19" t="s">
        <v>24</v>
      </c>
      <c r="F6" s="20" t="s">
        <v>17</v>
      </c>
      <c r="G6" s="21" t="s">
        <v>18</v>
      </c>
      <c r="H6" s="19"/>
      <c r="I6" s="21">
        <v>3</v>
      </c>
      <c r="J6" s="39" t="s">
        <v>20</v>
      </c>
    </row>
    <row r="7" spans="1:10" ht="38.25" customHeight="1">
      <c r="A7" s="18" t="s">
        <v>25</v>
      </c>
      <c r="B7" s="19" t="s">
        <v>13</v>
      </c>
      <c r="C7" s="19" t="s">
        <v>22</v>
      </c>
      <c r="D7" s="19" t="s">
        <v>26</v>
      </c>
      <c r="E7" s="19" t="s">
        <v>27</v>
      </c>
      <c r="F7" s="20" t="s">
        <v>17</v>
      </c>
      <c r="G7" s="21" t="s">
        <v>18</v>
      </c>
      <c r="H7" s="19" t="s">
        <v>28</v>
      </c>
      <c r="I7" s="21">
        <v>5</v>
      </c>
      <c r="J7" s="39" t="s">
        <v>20</v>
      </c>
    </row>
    <row r="8" spans="1:10" ht="38.25" customHeight="1">
      <c r="A8" s="18" t="s">
        <v>29</v>
      </c>
      <c r="B8" s="19" t="s">
        <v>13</v>
      </c>
      <c r="C8" s="19" t="s">
        <v>14</v>
      </c>
      <c r="D8" s="19" t="s">
        <v>30</v>
      </c>
      <c r="E8" s="19" t="s">
        <v>31</v>
      </c>
      <c r="F8" s="22" t="s">
        <v>32</v>
      </c>
      <c r="G8" s="21" t="s">
        <v>18</v>
      </c>
      <c r="H8" s="19"/>
      <c r="I8" s="21">
        <v>2</v>
      </c>
      <c r="J8" s="39" t="s">
        <v>20</v>
      </c>
    </row>
    <row r="9" spans="1:10" ht="38.25" customHeight="1">
      <c r="A9" s="18" t="s">
        <v>33</v>
      </c>
      <c r="B9" s="19" t="s">
        <v>34</v>
      </c>
      <c r="C9" s="19" t="s">
        <v>35</v>
      </c>
      <c r="D9" s="19" t="s">
        <v>36</v>
      </c>
      <c r="E9" s="19" t="s">
        <v>37</v>
      </c>
      <c r="F9" s="20" t="s">
        <v>17</v>
      </c>
      <c r="G9" s="21" t="s">
        <v>18</v>
      </c>
      <c r="H9" s="19"/>
      <c r="I9" s="21">
        <v>3</v>
      </c>
      <c r="J9" s="39" t="s">
        <v>20</v>
      </c>
    </row>
    <row r="10" spans="1:10" ht="51" customHeight="1">
      <c r="A10" s="18" t="s">
        <v>38</v>
      </c>
      <c r="B10" s="19" t="s">
        <v>34</v>
      </c>
      <c r="C10" s="19" t="s">
        <v>35</v>
      </c>
      <c r="D10" s="19" t="s">
        <v>39</v>
      </c>
      <c r="E10" s="19" t="s">
        <v>40</v>
      </c>
      <c r="F10" s="20" t="s">
        <v>17</v>
      </c>
      <c r="G10" s="21" t="s">
        <v>18</v>
      </c>
      <c r="H10" s="19"/>
      <c r="I10" s="21">
        <v>3</v>
      </c>
      <c r="J10" s="39" t="s">
        <v>20</v>
      </c>
    </row>
    <row r="11" spans="1:10" ht="51" customHeight="1">
      <c r="A11" s="18" t="s">
        <v>41</v>
      </c>
      <c r="B11" s="19" t="s">
        <v>42</v>
      </c>
      <c r="C11" s="19" t="s">
        <v>43</v>
      </c>
      <c r="D11" s="19" t="s">
        <v>44</v>
      </c>
      <c r="E11" s="19" t="s">
        <v>45</v>
      </c>
      <c r="F11" s="20" t="s">
        <v>17</v>
      </c>
      <c r="G11" s="21" t="s">
        <v>18</v>
      </c>
      <c r="H11" s="19" t="s">
        <v>46</v>
      </c>
      <c r="I11" s="21">
        <v>3</v>
      </c>
      <c r="J11" s="39" t="s">
        <v>20</v>
      </c>
    </row>
    <row r="12" spans="1:10" ht="38.25" customHeight="1">
      <c r="A12" s="18" t="s">
        <v>47</v>
      </c>
      <c r="B12" s="19" t="s">
        <v>42</v>
      </c>
      <c r="C12" s="19" t="s">
        <v>43</v>
      </c>
      <c r="D12" s="19" t="s">
        <v>48</v>
      </c>
      <c r="E12" s="19" t="s">
        <v>49</v>
      </c>
      <c r="F12" s="22" t="s">
        <v>32</v>
      </c>
      <c r="G12" s="21" t="s">
        <v>18</v>
      </c>
      <c r="H12" s="19" t="s">
        <v>50</v>
      </c>
      <c r="I12" s="21">
        <v>2</v>
      </c>
      <c r="J12" s="39" t="s">
        <v>20</v>
      </c>
    </row>
    <row r="13" spans="1:10" ht="25.5" customHeight="1">
      <c r="A13" s="18" t="s">
        <v>51</v>
      </c>
      <c r="B13" s="19" t="s">
        <v>42</v>
      </c>
      <c r="C13" s="19" t="s">
        <v>43</v>
      </c>
      <c r="D13" s="19" t="s">
        <v>52</v>
      </c>
      <c r="E13" s="19" t="s">
        <v>53</v>
      </c>
      <c r="F13" s="20" t="s">
        <v>54</v>
      </c>
      <c r="G13" s="21" t="s">
        <v>18</v>
      </c>
      <c r="H13" s="19"/>
      <c r="I13" s="21">
        <v>2</v>
      </c>
      <c r="J13" s="39" t="s">
        <v>20</v>
      </c>
    </row>
    <row r="14" spans="1:10" ht="38.25" customHeight="1">
      <c r="A14" s="18" t="s">
        <v>55</v>
      </c>
      <c r="B14" s="19" t="s">
        <v>56</v>
      </c>
      <c r="C14" s="19" t="s">
        <v>43</v>
      </c>
      <c r="D14" s="19" t="s">
        <v>57</v>
      </c>
      <c r="E14" s="19" t="s">
        <v>58</v>
      </c>
      <c r="F14" s="20" t="s">
        <v>17</v>
      </c>
      <c r="G14" s="21" t="s">
        <v>18</v>
      </c>
      <c r="H14" s="19" t="s">
        <v>59</v>
      </c>
      <c r="I14" s="21">
        <v>3</v>
      </c>
      <c r="J14" s="40" t="s">
        <v>60</v>
      </c>
    </row>
    <row r="15" spans="1:10" ht="51" customHeight="1">
      <c r="A15" s="18" t="s">
        <v>61</v>
      </c>
      <c r="B15" s="19" t="s">
        <v>56</v>
      </c>
      <c r="C15" s="19" t="s">
        <v>43</v>
      </c>
      <c r="D15" s="19" t="s">
        <v>62</v>
      </c>
      <c r="E15" s="19" t="s">
        <v>63</v>
      </c>
      <c r="F15" s="22" t="s">
        <v>32</v>
      </c>
      <c r="G15" s="21" t="s">
        <v>18</v>
      </c>
      <c r="H15" s="19" t="s">
        <v>64</v>
      </c>
      <c r="I15" s="21">
        <v>3</v>
      </c>
      <c r="J15" s="40" t="s">
        <v>60</v>
      </c>
    </row>
    <row r="16" spans="1:10" ht="51" customHeight="1">
      <c r="A16" s="18" t="s">
        <v>65</v>
      </c>
      <c r="B16" s="19" t="s">
        <v>56</v>
      </c>
      <c r="C16" s="19" t="s">
        <v>43</v>
      </c>
      <c r="D16" s="19" t="s">
        <v>66</v>
      </c>
      <c r="E16" s="19" t="s">
        <v>67</v>
      </c>
      <c r="F16" s="20" t="s">
        <v>17</v>
      </c>
      <c r="G16" s="21" t="s">
        <v>18</v>
      </c>
      <c r="H16" s="19" t="s">
        <v>68</v>
      </c>
      <c r="I16" s="21">
        <v>3</v>
      </c>
      <c r="J16" s="40" t="s">
        <v>60</v>
      </c>
    </row>
    <row r="17" spans="1:10" ht="63.75" customHeight="1">
      <c r="A17" s="18" t="s">
        <v>69</v>
      </c>
      <c r="B17" s="19" t="s">
        <v>56</v>
      </c>
      <c r="C17" s="19" t="s">
        <v>22</v>
      </c>
      <c r="D17" s="19" t="s">
        <v>52</v>
      </c>
      <c r="E17" s="19" t="s">
        <v>70</v>
      </c>
      <c r="F17" s="20" t="s">
        <v>17</v>
      </c>
      <c r="G17" s="21" t="s">
        <v>18</v>
      </c>
      <c r="H17" s="19"/>
      <c r="I17" s="21">
        <v>3</v>
      </c>
      <c r="J17" s="40" t="s">
        <v>60</v>
      </c>
    </row>
    <row r="18" spans="1:10" ht="51" customHeight="1">
      <c r="A18" s="18" t="s">
        <v>71</v>
      </c>
      <c r="B18" s="19" t="s">
        <v>72</v>
      </c>
      <c r="C18" s="19" t="s">
        <v>73</v>
      </c>
      <c r="D18" s="19" t="s">
        <v>74</v>
      </c>
      <c r="E18" s="19" t="s">
        <v>75</v>
      </c>
      <c r="F18" s="20" t="s">
        <v>17</v>
      </c>
      <c r="G18" s="21" t="s">
        <v>18</v>
      </c>
      <c r="H18" s="19" t="s">
        <v>76</v>
      </c>
      <c r="I18" s="21">
        <v>3</v>
      </c>
      <c r="J18" s="40" t="s">
        <v>60</v>
      </c>
    </row>
    <row r="19" spans="1:10" ht="51" customHeight="1">
      <c r="A19" s="18" t="s">
        <v>77</v>
      </c>
      <c r="B19" s="19" t="s">
        <v>72</v>
      </c>
      <c r="C19" s="19" t="s">
        <v>78</v>
      </c>
      <c r="D19" s="19" t="s">
        <v>79</v>
      </c>
      <c r="E19" s="19" t="s">
        <v>80</v>
      </c>
      <c r="F19" s="20" t="s">
        <v>17</v>
      </c>
      <c r="G19" s="21" t="s">
        <v>18</v>
      </c>
      <c r="H19" s="19" t="s">
        <v>81</v>
      </c>
      <c r="I19" s="21">
        <v>3</v>
      </c>
      <c r="J19" s="40" t="s">
        <v>60</v>
      </c>
    </row>
    <row r="20" spans="1:10" ht="51" customHeight="1">
      <c r="A20" s="18" t="s">
        <v>82</v>
      </c>
      <c r="B20" s="19" t="s">
        <v>83</v>
      </c>
      <c r="C20" s="19" t="s">
        <v>78</v>
      </c>
      <c r="D20" s="19" t="s">
        <v>84</v>
      </c>
      <c r="E20" s="19" t="s">
        <v>85</v>
      </c>
      <c r="F20" s="20" t="s">
        <v>17</v>
      </c>
      <c r="G20" s="21" t="s">
        <v>18</v>
      </c>
      <c r="H20" s="19" t="s">
        <v>86</v>
      </c>
      <c r="I20" s="21">
        <v>3</v>
      </c>
      <c r="J20" s="40" t="s">
        <v>60</v>
      </c>
    </row>
    <row r="21" spans="1:10" ht="38.25" customHeight="1">
      <c r="A21" s="18" t="s">
        <v>87</v>
      </c>
      <c r="B21" s="19" t="s">
        <v>83</v>
      </c>
      <c r="C21" s="19" t="s">
        <v>78</v>
      </c>
      <c r="D21" s="19" t="s">
        <v>88</v>
      </c>
      <c r="E21" s="19" t="s">
        <v>89</v>
      </c>
      <c r="F21" s="20" t="s">
        <v>17</v>
      </c>
      <c r="G21" s="21" t="s">
        <v>18</v>
      </c>
      <c r="H21" s="19" t="s">
        <v>90</v>
      </c>
      <c r="I21" s="21">
        <v>5</v>
      </c>
      <c r="J21" s="40" t="s">
        <v>60</v>
      </c>
    </row>
    <row r="22" spans="1:10" ht="38.25" customHeight="1">
      <c r="A22" s="18" t="s">
        <v>91</v>
      </c>
      <c r="B22" s="19" t="s">
        <v>83</v>
      </c>
      <c r="C22" s="19" t="s">
        <v>78</v>
      </c>
      <c r="D22" s="19" t="s">
        <v>92</v>
      </c>
      <c r="E22" s="19" t="s">
        <v>93</v>
      </c>
      <c r="F22" s="22" t="s">
        <v>32</v>
      </c>
      <c r="G22" s="21" t="s">
        <v>18</v>
      </c>
      <c r="H22" s="19" t="s">
        <v>94</v>
      </c>
      <c r="I22" s="21">
        <v>2</v>
      </c>
      <c r="J22" s="41" t="s">
        <v>95</v>
      </c>
    </row>
    <row r="23" spans="1:10" ht="89.25" customHeight="1">
      <c r="A23" s="18" t="s">
        <v>96</v>
      </c>
      <c r="B23" s="19" t="s">
        <v>97</v>
      </c>
      <c r="C23" s="19" t="s">
        <v>98</v>
      </c>
      <c r="D23" s="19" t="s">
        <v>99</v>
      </c>
      <c r="E23" s="19" t="s">
        <v>100</v>
      </c>
      <c r="F23" s="20" t="s">
        <v>17</v>
      </c>
      <c r="G23" s="21" t="s">
        <v>18</v>
      </c>
      <c r="H23" s="19" t="s">
        <v>101</v>
      </c>
      <c r="I23" s="21">
        <v>5</v>
      </c>
      <c r="J23" s="40" t="s">
        <v>60</v>
      </c>
    </row>
    <row r="24" spans="1:10" ht="63.75" customHeight="1">
      <c r="A24" s="18" t="s">
        <v>102</v>
      </c>
      <c r="B24" s="19" t="s">
        <v>97</v>
      </c>
      <c r="C24" s="19" t="s">
        <v>98</v>
      </c>
      <c r="D24" s="19" t="s">
        <v>103</v>
      </c>
      <c r="E24" s="19" t="s">
        <v>104</v>
      </c>
      <c r="F24" s="20" t="s">
        <v>17</v>
      </c>
      <c r="G24" s="21" t="s">
        <v>18</v>
      </c>
      <c r="H24" s="19" t="s">
        <v>105</v>
      </c>
      <c r="I24" s="21">
        <v>3</v>
      </c>
      <c r="J24" s="40" t="s">
        <v>60</v>
      </c>
    </row>
    <row r="25" spans="1:10" ht="25.5" customHeight="1">
      <c r="A25" s="18" t="s">
        <v>106</v>
      </c>
      <c r="B25" s="19" t="s">
        <v>97</v>
      </c>
      <c r="C25" s="19" t="s">
        <v>98</v>
      </c>
      <c r="D25" s="19" t="s">
        <v>107</v>
      </c>
      <c r="E25" s="19" t="s">
        <v>108</v>
      </c>
      <c r="F25" s="22" t="s">
        <v>32</v>
      </c>
      <c r="G25" s="21" t="s">
        <v>18</v>
      </c>
      <c r="H25" s="19" t="s">
        <v>109</v>
      </c>
      <c r="I25" s="21">
        <v>2</v>
      </c>
      <c r="J25" s="41" t="s">
        <v>95</v>
      </c>
    </row>
    <row r="26" spans="1:10" ht="51" customHeight="1">
      <c r="A26" s="18" t="s">
        <v>110</v>
      </c>
      <c r="B26" s="19" t="s">
        <v>111</v>
      </c>
      <c r="C26" s="19" t="s">
        <v>112</v>
      </c>
      <c r="D26" s="19" t="s">
        <v>113</v>
      </c>
      <c r="E26" s="19" t="s">
        <v>114</v>
      </c>
      <c r="F26" s="20" t="s">
        <v>17</v>
      </c>
      <c r="G26" s="21" t="s">
        <v>18</v>
      </c>
      <c r="H26" s="19"/>
      <c r="I26" s="21">
        <v>5</v>
      </c>
      <c r="J26" s="40" t="s">
        <v>60</v>
      </c>
    </row>
    <row r="27" spans="1:10" ht="51" customHeight="1">
      <c r="A27" s="18" t="s">
        <v>115</v>
      </c>
      <c r="B27" s="19" t="s">
        <v>111</v>
      </c>
      <c r="C27" s="19" t="s">
        <v>116</v>
      </c>
      <c r="D27" s="19" t="s">
        <v>117</v>
      </c>
      <c r="E27" s="19" t="s">
        <v>118</v>
      </c>
      <c r="F27" s="20" t="s">
        <v>17</v>
      </c>
      <c r="G27" s="21" t="s">
        <v>18</v>
      </c>
      <c r="H27" s="19" t="s">
        <v>119</v>
      </c>
      <c r="I27" s="21">
        <v>3</v>
      </c>
      <c r="J27" s="40" t="s">
        <v>60</v>
      </c>
    </row>
    <row r="28" spans="1:10" ht="25.5" customHeight="1">
      <c r="A28" s="18" t="s">
        <v>120</v>
      </c>
      <c r="B28" s="19" t="s">
        <v>111</v>
      </c>
      <c r="C28" s="19" t="s">
        <v>112</v>
      </c>
      <c r="D28" s="19" t="s">
        <v>121</v>
      </c>
      <c r="E28" s="19" t="s">
        <v>122</v>
      </c>
      <c r="F28" s="22" t="s">
        <v>32</v>
      </c>
      <c r="G28" s="21" t="s">
        <v>18</v>
      </c>
      <c r="H28" s="19"/>
      <c r="I28" s="21">
        <v>2</v>
      </c>
      <c r="J28" s="40" t="s">
        <v>60</v>
      </c>
    </row>
    <row r="29" spans="1:10" ht="51" customHeight="1">
      <c r="A29" s="18" t="s">
        <v>123</v>
      </c>
      <c r="B29" s="19" t="s">
        <v>111</v>
      </c>
      <c r="C29" s="19" t="s">
        <v>116</v>
      </c>
      <c r="D29" s="19" t="s">
        <v>124</v>
      </c>
      <c r="E29" s="19" t="s">
        <v>125</v>
      </c>
      <c r="F29" s="20" t="s">
        <v>17</v>
      </c>
      <c r="G29" s="21" t="s">
        <v>18</v>
      </c>
      <c r="H29" s="19" t="s">
        <v>126</v>
      </c>
      <c r="I29" s="21">
        <v>3</v>
      </c>
      <c r="J29" s="40" t="s">
        <v>60</v>
      </c>
    </row>
    <row r="30" spans="1:10" ht="38.25" customHeight="1">
      <c r="A30" s="18" t="s">
        <v>127</v>
      </c>
      <c r="B30" s="19" t="s">
        <v>128</v>
      </c>
      <c r="C30" s="19" t="s">
        <v>129</v>
      </c>
      <c r="D30" s="19" t="s">
        <v>130</v>
      </c>
      <c r="E30" s="19" t="s">
        <v>131</v>
      </c>
      <c r="F30" s="20" t="s">
        <v>17</v>
      </c>
      <c r="G30" s="21" t="s">
        <v>18</v>
      </c>
      <c r="H30" s="19"/>
      <c r="I30" s="21">
        <v>2</v>
      </c>
      <c r="J30" s="41" t="s">
        <v>95</v>
      </c>
    </row>
    <row r="31" spans="1:10" ht="38.25" customHeight="1">
      <c r="A31" s="18" t="s">
        <v>132</v>
      </c>
      <c r="B31" s="19" t="s">
        <v>128</v>
      </c>
      <c r="C31" s="19" t="s">
        <v>129</v>
      </c>
      <c r="D31" s="19" t="s">
        <v>133</v>
      </c>
      <c r="E31" s="19" t="s">
        <v>134</v>
      </c>
      <c r="F31" s="20" t="s">
        <v>17</v>
      </c>
      <c r="G31" s="21" t="s">
        <v>18</v>
      </c>
      <c r="H31" s="19"/>
      <c r="I31" s="21">
        <v>2</v>
      </c>
      <c r="J31" s="41" t="s">
        <v>95</v>
      </c>
    </row>
    <row r="32" spans="1:10" ht="38.25" customHeight="1">
      <c r="A32" s="18" t="s">
        <v>135</v>
      </c>
      <c r="B32" s="19" t="s">
        <v>128</v>
      </c>
      <c r="C32" s="19" t="s">
        <v>129</v>
      </c>
      <c r="D32" s="19" t="s">
        <v>136</v>
      </c>
      <c r="E32" s="19" t="s">
        <v>137</v>
      </c>
      <c r="F32" s="20" t="s">
        <v>17</v>
      </c>
      <c r="G32" s="21" t="s">
        <v>18</v>
      </c>
      <c r="H32" s="19" t="s">
        <v>138</v>
      </c>
      <c r="I32" s="21">
        <v>3</v>
      </c>
      <c r="J32" s="41" t="s">
        <v>95</v>
      </c>
    </row>
    <row r="33" spans="1:10" ht="51" customHeight="1">
      <c r="A33" s="18" t="s">
        <v>139</v>
      </c>
      <c r="B33" s="19" t="s">
        <v>128</v>
      </c>
      <c r="C33" s="19" t="s">
        <v>129</v>
      </c>
      <c r="D33" s="19" t="s">
        <v>140</v>
      </c>
      <c r="E33" s="19" t="s">
        <v>141</v>
      </c>
      <c r="F33" s="22" t="s">
        <v>32</v>
      </c>
      <c r="G33" s="21" t="s">
        <v>18</v>
      </c>
      <c r="H33" s="19"/>
      <c r="I33" s="21">
        <v>2</v>
      </c>
      <c r="J33" s="41" t="s">
        <v>95</v>
      </c>
    </row>
    <row r="34" spans="1:10" ht="38.25" customHeight="1">
      <c r="A34" s="18" t="s">
        <v>142</v>
      </c>
      <c r="B34" s="19" t="s">
        <v>128</v>
      </c>
      <c r="C34" s="19" t="s">
        <v>129</v>
      </c>
      <c r="D34" s="19" t="s">
        <v>143</v>
      </c>
      <c r="E34" s="19" t="s">
        <v>144</v>
      </c>
      <c r="F34" s="22" t="s">
        <v>32</v>
      </c>
      <c r="G34" s="21" t="s">
        <v>18</v>
      </c>
      <c r="H34" s="19" t="s">
        <v>145</v>
      </c>
      <c r="I34" s="21">
        <v>3</v>
      </c>
      <c r="J34" s="41" t="s">
        <v>95</v>
      </c>
    </row>
    <row r="35" spans="1:10" ht="38.25" customHeight="1">
      <c r="A35" s="18" t="s">
        <v>146</v>
      </c>
      <c r="B35" s="19" t="s">
        <v>147</v>
      </c>
      <c r="C35" s="19" t="s">
        <v>148</v>
      </c>
      <c r="D35" s="19" t="s">
        <v>149</v>
      </c>
      <c r="E35" s="19" t="s">
        <v>150</v>
      </c>
      <c r="F35" s="20" t="s">
        <v>17</v>
      </c>
      <c r="G35" s="21" t="s">
        <v>18</v>
      </c>
      <c r="H35" s="19"/>
      <c r="I35" s="21">
        <v>3</v>
      </c>
      <c r="J35" s="39" t="s">
        <v>20</v>
      </c>
    </row>
    <row r="36" spans="1:10" ht="38.25" customHeight="1">
      <c r="A36" s="18" t="s">
        <v>151</v>
      </c>
      <c r="B36" s="19" t="s">
        <v>147</v>
      </c>
      <c r="C36" s="19" t="s">
        <v>148</v>
      </c>
      <c r="D36" s="19" t="s">
        <v>152</v>
      </c>
      <c r="E36" s="19" t="s">
        <v>153</v>
      </c>
      <c r="F36" s="20" t="s">
        <v>17</v>
      </c>
      <c r="G36" s="21" t="s">
        <v>18</v>
      </c>
      <c r="H36" s="19"/>
      <c r="I36" s="21">
        <v>3</v>
      </c>
      <c r="J36" s="39" t="s">
        <v>20</v>
      </c>
    </row>
    <row r="37" spans="1:10" ht="51" customHeight="1">
      <c r="A37" s="18" t="s">
        <v>154</v>
      </c>
      <c r="B37" s="19" t="s">
        <v>147</v>
      </c>
      <c r="C37" s="19" t="s">
        <v>148</v>
      </c>
      <c r="D37" s="19" t="s">
        <v>155</v>
      </c>
      <c r="E37" s="19" t="s">
        <v>156</v>
      </c>
      <c r="F37" s="22" t="s">
        <v>32</v>
      </c>
      <c r="G37" s="21" t="s">
        <v>18</v>
      </c>
      <c r="H37" s="19"/>
      <c r="I37" s="21">
        <v>3</v>
      </c>
      <c r="J37" s="39" t="s">
        <v>20</v>
      </c>
    </row>
    <row r="38" spans="1:10" ht="38.25" customHeight="1">
      <c r="A38" s="18" t="s">
        <v>157</v>
      </c>
      <c r="B38" s="19" t="s">
        <v>147</v>
      </c>
      <c r="C38" s="19" t="s">
        <v>148</v>
      </c>
      <c r="D38" s="19" t="s">
        <v>158</v>
      </c>
      <c r="E38" s="19" t="s">
        <v>159</v>
      </c>
      <c r="F38" s="22" t="s">
        <v>32</v>
      </c>
      <c r="G38" s="21" t="s">
        <v>18</v>
      </c>
      <c r="H38" s="19"/>
      <c r="I38" s="21">
        <v>2</v>
      </c>
      <c r="J38" s="39" t="s">
        <v>20</v>
      </c>
    </row>
    <row r="39" spans="1:10" ht="51" customHeight="1">
      <c r="A39" s="18" t="s">
        <v>160</v>
      </c>
      <c r="B39" s="19" t="s">
        <v>161</v>
      </c>
      <c r="C39" s="19" t="s">
        <v>22</v>
      </c>
      <c r="D39" s="19" t="s">
        <v>162</v>
      </c>
      <c r="E39" s="19" t="s">
        <v>163</v>
      </c>
      <c r="F39" s="20" t="s">
        <v>17</v>
      </c>
      <c r="G39" s="21" t="s">
        <v>18</v>
      </c>
      <c r="H39" s="19" t="s">
        <v>164</v>
      </c>
      <c r="I39" s="21">
        <v>5</v>
      </c>
      <c r="J39" s="41" t="s">
        <v>95</v>
      </c>
    </row>
    <row r="40" spans="1:10" ht="38.25" customHeight="1">
      <c r="A40" s="18" t="s">
        <v>165</v>
      </c>
      <c r="B40" s="19" t="s">
        <v>161</v>
      </c>
      <c r="C40" s="19" t="s">
        <v>14</v>
      </c>
      <c r="D40" s="19" t="s">
        <v>166</v>
      </c>
      <c r="E40" s="19" t="s">
        <v>167</v>
      </c>
      <c r="F40" s="20" t="s">
        <v>17</v>
      </c>
      <c r="G40" s="21" t="s">
        <v>18</v>
      </c>
      <c r="H40" s="19"/>
      <c r="I40" s="21">
        <v>3</v>
      </c>
      <c r="J40" s="41" t="s">
        <v>95</v>
      </c>
    </row>
    <row r="41" spans="1:10" ht="51" customHeight="1">
      <c r="A41" s="18" t="s">
        <v>168</v>
      </c>
      <c r="B41" s="19" t="s">
        <v>161</v>
      </c>
      <c r="C41" s="19" t="s">
        <v>148</v>
      </c>
      <c r="D41" s="19" t="s">
        <v>169</v>
      </c>
      <c r="E41" s="19" t="s">
        <v>170</v>
      </c>
      <c r="F41" s="22" t="s">
        <v>32</v>
      </c>
      <c r="G41" s="21" t="s">
        <v>18</v>
      </c>
      <c r="H41" s="19"/>
      <c r="I41" s="21">
        <v>3</v>
      </c>
      <c r="J41" s="41" t="s">
        <v>95</v>
      </c>
    </row>
    <row r="42" spans="1:10" ht="51" customHeight="1">
      <c r="A42" s="18" t="s">
        <v>171</v>
      </c>
      <c r="B42" s="19" t="s">
        <v>161</v>
      </c>
      <c r="C42" s="19" t="s">
        <v>43</v>
      </c>
      <c r="D42" s="19" t="s">
        <v>172</v>
      </c>
      <c r="E42" s="19" t="s">
        <v>173</v>
      </c>
      <c r="F42" s="22" t="s">
        <v>32</v>
      </c>
      <c r="G42" s="21" t="s">
        <v>18</v>
      </c>
      <c r="H42" s="19" t="s">
        <v>174</v>
      </c>
      <c r="I42" s="21">
        <v>3</v>
      </c>
      <c r="J42" s="41" t="s">
        <v>95</v>
      </c>
    </row>
    <row r="43" spans="1:10" ht="51" customHeight="1">
      <c r="A43" s="18" t="s">
        <v>175</v>
      </c>
      <c r="B43" s="19" t="s">
        <v>161</v>
      </c>
      <c r="C43" s="19" t="s">
        <v>14</v>
      </c>
      <c r="D43" s="19" t="s">
        <v>176</v>
      </c>
      <c r="E43" s="19" t="s">
        <v>177</v>
      </c>
      <c r="F43" s="22" t="s">
        <v>32</v>
      </c>
      <c r="G43" s="21" t="s">
        <v>18</v>
      </c>
      <c r="H43" s="19" t="s">
        <v>178</v>
      </c>
      <c r="I43" s="21">
        <v>2</v>
      </c>
      <c r="J43" s="41" t="s">
        <v>95</v>
      </c>
    </row>
    <row r="44" spans="1:10" ht="51" customHeight="1">
      <c r="A44" s="18" t="s">
        <v>179</v>
      </c>
      <c r="B44" s="19" t="s">
        <v>180</v>
      </c>
      <c r="C44" s="19" t="s">
        <v>22</v>
      </c>
      <c r="D44" s="19" t="s">
        <v>181</v>
      </c>
      <c r="E44" s="19" t="s">
        <v>182</v>
      </c>
      <c r="F44" s="20" t="s">
        <v>17</v>
      </c>
      <c r="G44" s="21" t="s">
        <v>18</v>
      </c>
      <c r="H44" s="19" t="s">
        <v>183</v>
      </c>
      <c r="I44" s="21">
        <v>3</v>
      </c>
      <c r="J44" s="39" t="s">
        <v>20</v>
      </c>
    </row>
    <row r="45" spans="1:10" ht="38.25" customHeight="1">
      <c r="A45" s="18" t="s">
        <v>184</v>
      </c>
      <c r="B45" s="19" t="s">
        <v>180</v>
      </c>
      <c r="C45" s="19" t="s">
        <v>22</v>
      </c>
      <c r="D45" s="19" t="s">
        <v>185</v>
      </c>
      <c r="E45" s="19" t="s">
        <v>186</v>
      </c>
      <c r="F45" s="22" t="s">
        <v>32</v>
      </c>
      <c r="G45" s="21" t="s">
        <v>18</v>
      </c>
      <c r="H45" s="19"/>
      <c r="I45" s="21">
        <v>2</v>
      </c>
      <c r="J45" s="39" t="s">
        <v>20</v>
      </c>
    </row>
    <row r="46" spans="1:10" ht="76.5" customHeight="1">
      <c r="A46" s="18" t="s">
        <v>187</v>
      </c>
      <c r="B46" s="19" t="s">
        <v>188</v>
      </c>
      <c r="C46" s="19" t="s">
        <v>22</v>
      </c>
      <c r="D46" s="19" t="s">
        <v>189</v>
      </c>
      <c r="E46" s="19" t="s">
        <v>190</v>
      </c>
      <c r="F46" s="20" t="s">
        <v>54</v>
      </c>
      <c r="G46" s="21" t="s">
        <v>18</v>
      </c>
      <c r="H46" s="19" t="s">
        <v>191</v>
      </c>
      <c r="I46" s="21">
        <v>1</v>
      </c>
      <c r="J46" s="39" t="s">
        <v>20</v>
      </c>
    </row>
    <row r="47" spans="1:10" ht="38.25" customHeight="1">
      <c r="A47" s="18" t="s">
        <v>192</v>
      </c>
      <c r="B47" s="19" t="s">
        <v>188</v>
      </c>
      <c r="C47" s="19" t="s">
        <v>22</v>
      </c>
      <c r="D47" s="19" t="s">
        <v>193</v>
      </c>
      <c r="E47" s="19" t="s">
        <v>194</v>
      </c>
      <c r="F47" s="20" t="s">
        <v>54</v>
      </c>
      <c r="G47" s="21" t="s">
        <v>18</v>
      </c>
      <c r="H47" s="19" t="s">
        <v>195</v>
      </c>
      <c r="I47" s="21">
        <v>1</v>
      </c>
      <c r="J47" s="39" t="s">
        <v>20</v>
      </c>
    </row>
    <row r="48" spans="1:10" ht="76.5" customHeight="1">
      <c r="A48" s="18" t="s">
        <v>196</v>
      </c>
      <c r="B48" s="19" t="s">
        <v>197</v>
      </c>
      <c r="C48" s="19" t="s">
        <v>198</v>
      </c>
      <c r="D48" s="19" t="s">
        <v>199</v>
      </c>
      <c r="E48" s="19" t="s">
        <v>200</v>
      </c>
      <c r="F48" s="20" t="s">
        <v>54</v>
      </c>
      <c r="G48" s="21" t="s">
        <v>18</v>
      </c>
      <c r="H48" s="19" t="s">
        <v>201</v>
      </c>
      <c r="I48" s="21">
        <v>3</v>
      </c>
      <c r="J48" s="41" t="s">
        <v>95</v>
      </c>
    </row>
    <row r="49" spans="1:10" ht="38.25" customHeight="1">
      <c r="A49" s="18" t="s">
        <v>202</v>
      </c>
      <c r="B49" s="19" t="s">
        <v>161</v>
      </c>
      <c r="C49" s="19" t="s">
        <v>14</v>
      </c>
      <c r="D49" s="19" t="s">
        <v>203</v>
      </c>
      <c r="E49" s="19" t="s">
        <v>204</v>
      </c>
      <c r="F49" s="20" t="s">
        <v>54</v>
      </c>
      <c r="G49" s="21" t="s">
        <v>18</v>
      </c>
      <c r="H49" s="19" t="s">
        <v>205</v>
      </c>
      <c r="I49" s="21">
        <v>1</v>
      </c>
      <c r="J49" s="41" t="s">
        <v>95</v>
      </c>
    </row>
    <row r="50" spans="1:10" ht="38.25" customHeight="1">
      <c r="A50" s="18" t="s">
        <v>206</v>
      </c>
      <c r="B50" s="19" t="s">
        <v>83</v>
      </c>
      <c r="C50" s="19" t="s">
        <v>207</v>
      </c>
      <c r="D50" s="19" t="s">
        <v>208</v>
      </c>
      <c r="E50" s="19" t="s">
        <v>209</v>
      </c>
      <c r="F50" s="20" t="s">
        <v>17</v>
      </c>
      <c r="G50" s="21" t="s">
        <v>18</v>
      </c>
      <c r="H50" s="19" t="s">
        <v>210</v>
      </c>
      <c r="I50" s="21">
        <v>5</v>
      </c>
      <c r="J50" s="40" t="s">
        <v>60</v>
      </c>
    </row>
    <row r="51" spans="1:10" ht="38.25" customHeight="1">
      <c r="A51" s="18" t="s">
        <v>211</v>
      </c>
      <c r="B51" s="19" t="s">
        <v>97</v>
      </c>
      <c r="C51" s="19" t="s">
        <v>212</v>
      </c>
      <c r="D51" s="19" t="s">
        <v>213</v>
      </c>
      <c r="E51" s="19" t="s">
        <v>214</v>
      </c>
      <c r="F51" s="20" t="s">
        <v>17</v>
      </c>
      <c r="G51" s="21" t="s">
        <v>18</v>
      </c>
      <c r="H51" s="19" t="s">
        <v>215</v>
      </c>
      <c r="I51" s="21">
        <v>3</v>
      </c>
      <c r="J51" s="40" t="s">
        <v>60</v>
      </c>
    </row>
    <row r="52" spans="1:10" ht="38.25" customHeight="1">
      <c r="A52" s="18" t="s">
        <v>216</v>
      </c>
      <c r="B52" s="19" t="s">
        <v>128</v>
      </c>
      <c r="C52" s="19" t="s">
        <v>129</v>
      </c>
      <c r="D52" s="19" t="s">
        <v>217</v>
      </c>
      <c r="E52" s="19" t="s">
        <v>218</v>
      </c>
      <c r="F52" s="20" t="s">
        <v>17</v>
      </c>
      <c r="G52" s="21" t="s">
        <v>18</v>
      </c>
      <c r="H52" s="19" t="s">
        <v>219</v>
      </c>
      <c r="I52" s="21">
        <v>3</v>
      </c>
      <c r="J52" s="41" t="s">
        <v>95</v>
      </c>
    </row>
    <row r="53" spans="1:10" ht="38.25" customHeight="1">
      <c r="A53" s="18" t="s">
        <v>220</v>
      </c>
      <c r="B53" s="19" t="s">
        <v>147</v>
      </c>
      <c r="C53" s="19" t="s">
        <v>148</v>
      </c>
      <c r="D53" s="19" t="s">
        <v>221</v>
      </c>
      <c r="E53" s="19" t="s">
        <v>222</v>
      </c>
      <c r="F53" s="20" t="s">
        <v>17</v>
      </c>
      <c r="G53" s="21" t="s">
        <v>18</v>
      </c>
      <c r="H53" s="19" t="s">
        <v>223</v>
      </c>
      <c r="I53" s="21">
        <v>5</v>
      </c>
      <c r="J53" s="41" t="s">
        <v>95</v>
      </c>
    </row>
    <row r="54" spans="1:10" ht="38.25" customHeight="1">
      <c r="A54" s="18" t="s">
        <v>224</v>
      </c>
      <c r="B54" s="19" t="s">
        <v>161</v>
      </c>
      <c r="C54" s="19" t="s">
        <v>22</v>
      </c>
      <c r="D54" s="19" t="s">
        <v>225</v>
      </c>
      <c r="E54" s="19" t="s">
        <v>226</v>
      </c>
      <c r="F54" s="20" t="s">
        <v>17</v>
      </c>
      <c r="G54" s="21" t="s">
        <v>18</v>
      </c>
      <c r="H54" s="19" t="s">
        <v>227</v>
      </c>
      <c r="I54" s="21">
        <v>5</v>
      </c>
      <c r="J54" s="39" t="s">
        <v>20</v>
      </c>
    </row>
    <row r="55" spans="1:10" ht="38.25" customHeight="1">
      <c r="A55" s="18" t="s">
        <v>228</v>
      </c>
      <c r="B55" s="19" t="s">
        <v>13</v>
      </c>
      <c r="C55" s="19" t="s">
        <v>22</v>
      </c>
      <c r="D55" s="19" t="s">
        <v>229</v>
      </c>
      <c r="E55" s="19" t="s">
        <v>230</v>
      </c>
      <c r="F55" s="20" t="s">
        <v>17</v>
      </c>
      <c r="G55" s="21" t="s">
        <v>18</v>
      </c>
      <c r="H55" s="19" t="s">
        <v>231</v>
      </c>
      <c r="I55" s="21">
        <v>3</v>
      </c>
      <c r="J55" s="39" t="s">
        <v>20</v>
      </c>
    </row>
    <row r="56" spans="1:10" ht="38.25" customHeight="1">
      <c r="A56" s="18" t="s">
        <v>232</v>
      </c>
      <c r="B56" s="19" t="s">
        <v>42</v>
      </c>
      <c r="C56" s="19" t="s">
        <v>43</v>
      </c>
      <c r="D56" s="19" t="s">
        <v>233</v>
      </c>
      <c r="E56" s="19" t="s">
        <v>234</v>
      </c>
      <c r="F56" s="22" t="s">
        <v>32</v>
      </c>
      <c r="G56" s="21" t="s">
        <v>18</v>
      </c>
      <c r="H56" s="19" t="s">
        <v>235</v>
      </c>
      <c r="I56" s="21">
        <v>3</v>
      </c>
      <c r="J56" s="39" t="s">
        <v>20</v>
      </c>
    </row>
    <row r="57" spans="1:10" ht="38.25" customHeight="1">
      <c r="A57" s="18" t="s">
        <v>236</v>
      </c>
      <c r="B57" s="19" t="s">
        <v>72</v>
      </c>
      <c r="C57" s="19" t="s">
        <v>78</v>
      </c>
      <c r="D57" s="19" t="s">
        <v>237</v>
      </c>
      <c r="E57" s="19" t="s">
        <v>238</v>
      </c>
      <c r="F57" s="22" t="s">
        <v>32</v>
      </c>
      <c r="G57" s="21" t="s">
        <v>18</v>
      </c>
      <c r="H57" s="19" t="s">
        <v>239</v>
      </c>
      <c r="I57" s="21">
        <v>3</v>
      </c>
      <c r="J57" s="40" t="s">
        <v>60</v>
      </c>
    </row>
    <row r="58" spans="1:10" ht="38.25" customHeight="1">
      <c r="A58" s="18" t="s">
        <v>240</v>
      </c>
      <c r="B58" s="19" t="s">
        <v>13</v>
      </c>
      <c r="C58" s="19" t="s">
        <v>22</v>
      </c>
      <c r="D58" s="19" t="s">
        <v>241</v>
      </c>
      <c r="E58" s="19" t="s">
        <v>242</v>
      </c>
      <c r="F58" s="20" t="s">
        <v>17</v>
      </c>
      <c r="G58" s="21" t="s">
        <v>18</v>
      </c>
      <c r="H58" s="19" t="s">
        <v>243</v>
      </c>
      <c r="I58" s="21">
        <v>3</v>
      </c>
      <c r="J58" s="39" t="s">
        <v>20</v>
      </c>
    </row>
    <row r="59" spans="1:10" ht="38.25" customHeight="1">
      <c r="A59" s="18" t="s">
        <v>244</v>
      </c>
      <c r="B59" s="19" t="s">
        <v>72</v>
      </c>
      <c r="C59" s="19" t="s">
        <v>116</v>
      </c>
      <c r="D59" s="19" t="s">
        <v>245</v>
      </c>
      <c r="E59" s="19" t="s">
        <v>246</v>
      </c>
      <c r="F59" s="20" t="s">
        <v>17</v>
      </c>
      <c r="G59" s="21" t="s">
        <v>18</v>
      </c>
      <c r="H59" s="19" t="s">
        <v>247</v>
      </c>
      <c r="I59" s="21">
        <v>3</v>
      </c>
      <c r="J59" s="40" t="s">
        <v>60</v>
      </c>
    </row>
  </sheetData>
  <autoFilter ref="A4:J59" xr:uid="{00000000-0009-0000-0000-000000000000}"/>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3"/>
  <sheetViews>
    <sheetView showGridLines="0" topLeftCell="A15" workbookViewId="0">
      <selection sqref="A1:C1"/>
    </sheetView>
  </sheetViews>
  <sheetFormatPr defaultColWidth="8.7109375" defaultRowHeight="15"/>
  <cols>
    <col min="1" max="1" width="30" customWidth="1"/>
    <col min="2" max="2" width="16" customWidth="1"/>
    <col min="3" max="3" width="20" customWidth="1"/>
    <col min="4" max="6" width="13" customWidth="1"/>
  </cols>
  <sheetData>
    <row r="1" spans="1:3" ht="18" customHeight="1">
      <c r="A1" s="52" t="s">
        <v>248</v>
      </c>
      <c r="B1" s="52"/>
      <c r="C1" s="52"/>
    </row>
    <row r="3" spans="1:3">
      <c r="A3" s="30" t="s">
        <v>249</v>
      </c>
    </row>
    <row r="4" spans="1:3" ht="30" customHeight="1">
      <c r="A4" s="1" t="s">
        <v>3</v>
      </c>
      <c r="B4" s="1" t="s">
        <v>250</v>
      </c>
    </row>
    <row r="5" spans="1:3">
      <c r="A5" s="31" t="s">
        <v>13</v>
      </c>
      <c r="B5" s="21">
        <f>COUNTIF(Backlog!$B$5:$B$59,A5)</f>
        <v>6</v>
      </c>
    </row>
    <row r="6" spans="1:3">
      <c r="A6" s="31" t="s">
        <v>34</v>
      </c>
      <c r="B6" s="21">
        <f>COUNTIF(Backlog!$B$5:$B$59,A6)</f>
        <v>2</v>
      </c>
    </row>
    <row r="7" spans="1:3">
      <c r="A7" s="31" t="s">
        <v>42</v>
      </c>
      <c r="B7" s="21">
        <f>COUNTIF(Backlog!$B$5:$B$59,A7)</f>
        <v>4</v>
      </c>
    </row>
    <row r="8" spans="1:3">
      <c r="A8" s="31" t="s">
        <v>56</v>
      </c>
      <c r="B8" s="21">
        <f>COUNTIF(Backlog!$B$5:$B$59,A8)</f>
        <v>4</v>
      </c>
    </row>
    <row r="9" spans="1:3">
      <c r="A9" s="31" t="s">
        <v>72</v>
      </c>
      <c r="B9" s="21">
        <f>COUNTIF(Backlog!$B$5:$B$59,A9)</f>
        <v>4</v>
      </c>
    </row>
    <row r="10" spans="1:3">
      <c r="A10" s="31" t="s">
        <v>83</v>
      </c>
      <c r="B10" s="21">
        <f>COUNTIF(Backlog!$B$5:$B$59,A10)</f>
        <v>4</v>
      </c>
    </row>
    <row r="11" spans="1:3">
      <c r="A11" s="31" t="s">
        <v>97</v>
      </c>
      <c r="B11" s="21">
        <f>COUNTIF(Backlog!$B$5:$B$59,A11)</f>
        <v>4</v>
      </c>
    </row>
    <row r="12" spans="1:3">
      <c r="A12" s="31" t="s">
        <v>111</v>
      </c>
      <c r="B12" s="21">
        <f>COUNTIF(Backlog!$B$5:$B$59,A12)</f>
        <v>4</v>
      </c>
    </row>
    <row r="13" spans="1:3">
      <c r="A13" s="31" t="s">
        <v>128</v>
      </c>
      <c r="B13" s="21">
        <f>COUNTIF(Backlog!$B$5:$B$59,A13)</f>
        <v>6</v>
      </c>
    </row>
    <row r="14" spans="1:3">
      <c r="A14" s="31" t="s">
        <v>147</v>
      </c>
      <c r="B14" s="21">
        <f>COUNTIF(Backlog!$B$5:$B$59,A14)</f>
        <v>5</v>
      </c>
    </row>
    <row r="15" spans="1:3">
      <c r="A15" s="31" t="s">
        <v>161</v>
      </c>
      <c r="B15" s="21">
        <f>COUNTIF(Backlog!$B$5:$B$59,A15)</f>
        <v>7</v>
      </c>
    </row>
    <row r="16" spans="1:3">
      <c r="A16" s="31" t="s">
        <v>180</v>
      </c>
      <c r="B16" s="21">
        <f>COUNTIF(Backlog!$B$5:$B$59,A16)</f>
        <v>2</v>
      </c>
    </row>
    <row r="17" spans="1:6">
      <c r="A17" s="31" t="s">
        <v>188</v>
      </c>
      <c r="B17" s="21">
        <f>COUNTIF(Backlog!$B$5:$B$59,A17)</f>
        <v>2</v>
      </c>
    </row>
    <row r="18" spans="1:6">
      <c r="A18" s="31" t="s">
        <v>197</v>
      </c>
      <c r="B18" s="21">
        <f>COUNTIF(Backlog!$B$5:$B$59,A18)</f>
        <v>1</v>
      </c>
    </row>
    <row r="19" spans="1:6">
      <c r="A19" s="32" t="s">
        <v>251</v>
      </c>
      <c r="B19" s="33">
        <f>SUM(B5:B18)</f>
        <v>55</v>
      </c>
    </row>
    <row r="21" spans="1:6">
      <c r="A21" s="30" t="s">
        <v>252</v>
      </c>
    </row>
    <row r="22" spans="1:6" ht="30" customHeight="1">
      <c r="A22" s="1" t="s">
        <v>7</v>
      </c>
      <c r="B22" s="1" t="s">
        <v>250</v>
      </c>
    </row>
    <row r="23" spans="1:6">
      <c r="A23" s="34" t="s">
        <v>17</v>
      </c>
      <c r="B23" s="21">
        <f>COUNTIF(Backlog!$F$5:$F$59,A23)</f>
        <v>34</v>
      </c>
    </row>
    <row r="24" spans="1:6">
      <c r="A24" s="35" t="s">
        <v>32</v>
      </c>
      <c r="B24" s="21">
        <f>COUNTIF(Backlog!$F$5:$F$59,A24)</f>
        <v>16</v>
      </c>
    </row>
    <row r="25" spans="1:6">
      <c r="A25" s="34" t="s">
        <v>54</v>
      </c>
      <c r="B25" s="21">
        <f>COUNTIF(Backlog!$F$5:$F$59,A25)</f>
        <v>5</v>
      </c>
    </row>
    <row r="28" spans="1:6">
      <c r="A28" s="30" t="s">
        <v>253</v>
      </c>
    </row>
    <row r="29" spans="1:6" ht="30" customHeight="1">
      <c r="A29" s="1" t="s">
        <v>11</v>
      </c>
      <c r="B29" s="1" t="s">
        <v>250</v>
      </c>
      <c r="C29" s="1" t="s">
        <v>254</v>
      </c>
      <c r="D29" s="1" t="s">
        <v>17</v>
      </c>
      <c r="E29" s="1" t="s">
        <v>32</v>
      </c>
      <c r="F29" s="1" t="s">
        <v>54</v>
      </c>
    </row>
    <row r="30" spans="1:6">
      <c r="A30" s="36" t="s">
        <v>20</v>
      </c>
      <c r="B30" s="21">
        <f>COUNTIF(Backlog!$J$5:$J$59,A30)</f>
        <v>21</v>
      </c>
      <c r="C30" s="21">
        <f>SUMIFS(Backlog!$I$5:$I$59,Backlog!$J$5:$J$59,A30)</f>
        <v>58</v>
      </c>
      <c r="D30" s="21">
        <f>COUNTIFS(Backlog!$J$5:$J$59,A30,Backlog!$F$5:$F$59,"Alta")</f>
        <v>12</v>
      </c>
      <c r="E30" s="21">
        <f>COUNTIFS(Backlog!$J$5:$J$59,A30,Backlog!$F$5:$F$59,"Media")</f>
        <v>6</v>
      </c>
      <c r="F30" s="21">
        <f>COUNTIFS(Backlog!$J$5:$J$59,A30,Backlog!$F$5:$F$59,"Baja")</f>
        <v>3</v>
      </c>
    </row>
    <row r="31" spans="1:6">
      <c r="A31" s="37" t="s">
        <v>60</v>
      </c>
      <c r="B31" s="21">
        <f>COUNTIF(Backlog!$J$5:$J$59,A31)</f>
        <v>18</v>
      </c>
      <c r="C31" s="21">
        <f>SUMIFS(Backlog!$I$5:$I$59,Backlog!$J$5:$J$59,A31)</f>
        <v>61</v>
      </c>
      <c r="D31" s="21">
        <f>COUNTIFS(Backlog!$J$5:$J$59,A31,Backlog!$F$5:$F$59,"Alta")</f>
        <v>15</v>
      </c>
      <c r="E31" s="21">
        <f>COUNTIFS(Backlog!$J$5:$J$59,A31,Backlog!$F$5:$F$59,"Media")</f>
        <v>3</v>
      </c>
      <c r="F31" s="21">
        <f>COUNTIFS(Backlog!$J$5:$J$59,A31,Backlog!$F$5:$F$59,"Baja")</f>
        <v>0</v>
      </c>
    </row>
    <row r="32" spans="1:6">
      <c r="A32" s="38" t="s">
        <v>95</v>
      </c>
      <c r="B32" s="21">
        <f>COUNTIF(Backlog!$J$5:$J$59,A32)</f>
        <v>16</v>
      </c>
      <c r="C32" s="21">
        <f>SUMIFS(Backlog!$I$5:$I$59,Backlog!$J$5:$J$59,A32)</f>
        <v>44</v>
      </c>
      <c r="D32" s="21">
        <f>COUNTIFS(Backlog!$J$5:$J$59,A32,Backlog!$F$5:$F$59,"Alta")</f>
        <v>7</v>
      </c>
      <c r="E32" s="21">
        <f>COUNTIFS(Backlog!$J$5:$J$59,A32,Backlog!$F$5:$F$59,"Media")</f>
        <v>7</v>
      </c>
      <c r="F32" s="21">
        <f>COUNTIFS(Backlog!$J$5:$J$59,A32,Backlog!$F$5:$F$59,"Baja")</f>
        <v>2</v>
      </c>
    </row>
    <row r="33" spans="1:6">
      <c r="A33" s="32" t="s">
        <v>251</v>
      </c>
      <c r="B33" s="33">
        <f>SUM(B30:B32)</f>
        <v>55</v>
      </c>
      <c r="C33" s="33">
        <f>SUM(C30:C32)</f>
        <v>163</v>
      </c>
      <c r="D33" s="33">
        <f>SUM(D30:D32)</f>
        <v>34</v>
      </c>
      <c r="E33" s="33">
        <f>SUM(E30:E32)</f>
        <v>16</v>
      </c>
      <c r="F33" s="33">
        <f>SUM(F30:F32)</f>
        <v>5</v>
      </c>
    </row>
  </sheetData>
  <mergeCells count="1">
    <mergeCell ref="A1:C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showGridLines="0" workbookViewId="0">
      <pane ySplit="3" topLeftCell="A4" activePane="bottomLeft" state="frozen"/>
      <selection pane="bottomLeft" activeCell="A11" sqref="A11"/>
    </sheetView>
  </sheetViews>
  <sheetFormatPr defaultColWidth="8.7109375" defaultRowHeight="15"/>
  <cols>
    <col min="1" max="1" width="13" customWidth="1"/>
    <col min="2" max="2" width="30" customWidth="1"/>
    <col min="3" max="3" width="90" customWidth="1"/>
  </cols>
  <sheetData>
    <row r="1" spans="1:3" ht="18" customHeight="1">
      <c r="A1" s="46" t="s">
        <v>255</v>
      </c>
      <c r="B1" s="46"/>
      <c r="C1" s="46"/>
    </row>
    <row r="2" spans="1:3">
      <c r="A2" s="28"/>
      <c r="B2" s="28"/>
      <c r="C2" s="28"/>
    </row>
    <row r="3" spans="1:3">
      <c r="A3" s="1" t="s">
        <v>8</v>
      </c>
      <c r="B3" s="1" t="s">
        <v>256</v>
      </c>
      <c r="C3" s="1" t="s">
        <v>257</v>
      </c>
    </row>
    <row r="4" spans="1:3" ht="25.5" customHeight="1">
      <c r="A4" s="29" t="s">
        <v>258</v>
      </c>
      <c r="B4" s="18" t="s">
        <v>259</v>
      </c>
      <c r="C4" s="19" t="s">
        <v>260</v>
      </c>
    </row>
    <row r="5" spans="1:3" ht="38.25" customHeight="1">
      <c r="A5" s="29" t="s">
        <v>258</v>
      </c>
      <c r="B5" s="18" t="s">
        <v>261</v>
      </c>
      <c r="C5" s="19" t="s">
        <v>262</v>
      </c>
    </row>
    <row r="6" spans="1:3" ht="38.25" customHeight="1">
      <c r="A6" s="29" t="s">
        <v>258</v>
      </c>
      <c r="B6" s="18" t="s">
        <v>263</v>
      </c>
      <c r="C6" s="19" t="s">
        <v>264</v>
      </c>
    </row>
    <row r="7" spans="1:3" ht="25.5" customHeight="1">
      <c r="A7" s="29" t="s">
        <v>258</v>
      </c>
      <c r="B7" s="18" t="s">
        <v>265</v>
      </c>
      <c r="C7" s="19" t="s">
        <v>266</v>
      </c>
    </row>
    <row r="8" spans="1:3" ht="38.25" customHeight="1">
      <c r="A8" s="29" t="s">
        <v>267</v>
      </c>
      <c r="B8" s="18" t="s">
        <v>268</v>
      </c>
      <c r="C8" s="19" t="s">
        <v>269</v>
      </c>
    </row>
    <row r="9" spans="1:3" ht="25.5" customHeight="1">
      <c r="A9" s="29" t="s">
        <v>258</v>
      </c>
      <c r="B9" s="18" t="s">
        <v>270</v>
      </c>
      <c r="C9" s="19" t="s">
        <v>271</v>
      </c>
    </row>
    <row r="10" spans="1:3" ht="34.5" customHeight="1">
      <c r="A10" s="29" t="s">
        <v>258</v>
      </c>
      <c r="B10" s="18" t="s">
        <v>272</v>
      </c>
      <c r="C10" s="19" t="s">
        <v>273</v>
      </c>
    </row>
    <row r="11" spans="1:3" ht="25.5" customHeight="1">
      <c r="A11" s="29" t="s">
        <v>267</v>
      </c>
      <c r="B11" s="18" t="s">
        <v>274</v>
      </c>
      <c r="C11" s="19" t="s">
        <v>275</v>
      </c>
    </row>
    <row r="12" spans="1:3" ht="45" customHeight="1">
      <c r="A12" s="28" t="s">
        <v>258</v>
      </c>
      <c r="B12" s="28" t="s">
        <v>276</v>
      </c>
      <c r="C12" s="28" t="s">
        <v>277</v>
      </c>
    </row>
    <row r="13" spans="1:3" ht="60" customHeight="1">
      <c r="A13" s="28" t="s">
        <v>267</v>
      </c>
      <c r="B13" s="28" t="s">
        <v>278</v>
      </c>
      <c r="C13" s="28" t="s">
        <v>279</v>
      </c>
    </row>
    <row r="14" spans="1:3" ht="41.25" customHeight="1">
      <c r="A14" s="28" t="s">
        <v>258</v>
      </c>
      <c r="B14" s="28" t="s">
        <v>280</v>
      </c>
      <c r="C14" s="28" t="s">
        <v>281</v>
      </c>
    </row>
    <row r="15" spans="1:3" ht="27.75" customHeight="1">
      <c r="A15" s="28" t="s">
        <v>258</v>
      </c>
      <c r="B15" s="28" t="s">
        <v>282</v>
      </c>
      <c r="C15" s="28" t="s">
        <v>283</v>
      </c>
    </row>
    <row r="16" spans="1:3" ht="27.75" customHeight="1">
      <c r="A16" s="28" t="s">
        <v>258</v>
      </c>
      <c r="B16" s="28" t="s">
        <v>284</v>
      </c>
      <c r="C16" s="28" t="s">
        <v>285</v>
      </c>
    </row>
    <row r="17" spans="1:3" ht="27.75" customHeight="1">
      <c r="A17" s="28" t="s">
        <v>258</v>
      </c>
      <c r="B17" s="28" t="s">
        <v>286</v>
      </c>
      <c r="C17" s="28" t="s">
        <v>287</v>
      </c>
    </row>
    <row r="18" spans="1:3" ht="41.25" customHeight="1">
      <c r="A18" s="28" t="s">
        <v>258</v>
      </c>
      <c r="B18" s="28" t="s">
        <v>288</v>
      </c>
      <c r="C18" s="28" t="s">
        <v>289</v>
      </c>
    </row>
    <row r="19" spans="1:3" ht="41.25" customHeight="1">
      <c r="A19" s="28" t="s">
        <v>258</v>
      </c>
      <c r="B19" s="28" t="s">
        <v>290</v>
      </c>
      <c r="C19" s="28" t="s">
        <v>291</v>
      </c>
    </row>
    <row r="20" spans="1:3" ht="75" customHeight="1">
      <c r="A20" s="28" t="s">
        <v>258</v>
      </c>
      <c r="B20" s="28" t="s">
        <v>292</v>
      </c>
      <c r="C20" s="28" t="s">
        <v>293</v>
      </c>
    </row>
  </sheetData>
  <mergeCells count="1">
    <mergeCell ref="A1:C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2"/>
  <sheetViews>
    <sheetView showGridLines="0" workbookViewId="0">
      <pane ySplit="3" topLeftCell="A12" activePane="bottomLeft" state="frozen"/>
      <selection pane="bottomLeft" activeCell="B48" sqref="B48"/>
    </sheetView>
  </sheetViews>
  <sheetFormatPr defaultColWidth="8.7109375" defaultRowHeight="15"/>
  <cols>
    <col min="1" max="1" width="10" customWidth="1"/>
    <col min="2" max="2" width="24" customWidth="1"/>
    <col min="3" max="3" width="55" customWidth="1"/>
    <col min="4" max="4" width="10" customWidth="1"/>
    <col min="5" max="5" width="12" customWidth="1"/>
    <col min="6" max="6" width="16" customWidth="1"/>
  </cols>
  <sheetData>
    <row r="1" spans="1:6" ht="18" customHeight="1">
      <c r="A1" s="52" t="s">
        <v>294</v>
      </c>
      <c r="B1" s="52"/>
      <c r="C1" s="52"/>
      <c r="D1" s="52"/>
      <c r="E1" s="52"/>
      <c r="F1" s="52"/>
    </row>
    <row r="2" spans="1:6" ht="30" customHeight="1">
      <c r="A2" s="49" t="s">
        <v>295</v>
      </c>
      <c r="B2" s="49"/>
      <c r="C2" s="49"/>
      <c r="D2" s="49"/>
      <c r="E2" s="49"/>
      <c r="F2" s="49"/>
    </row>
    <row r="4" spans="1:6" ht="15.75" customHeight="1">
      <c r="A4" s="48" t="s">
        <v>20</v>
      </c>
      <c r="B4" s="48"/>
      <c r="C4" s="48"/>
      <c r="D4" s="48"/>
      <c r="E4" s="48"/>
      <c r="F4" s="48"/>
    </row>
    <row r="5" spans="1:6" ht="27.75" customHeight="1">
      <c r="A5" s="49" t="s">
        <v>296</v>
      </c>
      <c r="B5" s="49"/>
      <c r="C5" s="49"/>
      <c r="D5" s="49"/>
      <c r="E5" s="49"/>
      <c r="F5" s="49"/>
    </row>
    <row r="6" spans="1:6" ht="30" customHeight="1">
      <c r="A6" s="1" t="s">
        <v>2</v>
      </c>
      <c r="B6" s="1" t="s">
        <v>3</v>
      </c>
      <c r="C6" s="1" t="s">
        <v>297</v>
      </c>
      <c r="D6" s="1" t="s">
        <v>7</v>
      </c>
      <c r="E6" s="1" t="s">
        <v>10</v>
      </c>
      <c r="F6" s="1" t="s">
        <v>4</v>
      </c>
    </row>
    <row r="7" spans="1:6" ht="38.25" customHeight="1">
      <c r="A7" s="18" t="s">
        <v>12</v>
      </c>
      <c r="B7" s="19" t="s">
        <v>13</v>
      </c>
      <c r="C7" s="19" t="s">
        <v>298</v>
      </c>
      <c r="D7" s="20" t="s">
        <v>17</v>
      </c>
      <c r="E7" s="21">
        <v>3</v>
      </c>
      <c r="F7" s="19" t="s">
        <v>14</v>
      </c>
    </row>
    <row r="8" spans="1:6" ht="38.25" customHeight="1">
      <c r="A8" s="18" t="s">
        <v>21</v>
      </c>
      <c r="B8" s="19" t="s">
        <v>13</v>
      </c>
      <c r="C8" s="19" t="s">
        <v>299</v>
      </c>
      <c r="D8" s="20" t="s">
        <v>17</v>
      </c>
      <c r="E8" s="21">
        <v>3</v>
      </c>
      <c r="F8" s="19" t="s">
        <v>22</v>
      </c>
    </row>
    <row r="9" spans="1:6" ht="38.25" customHeight="1">
      <c r="A9" s="18" t="s">
        <v>25</v>
      </c>
      <c r="B9" s="19" t="s">
        <v>13</v>
      </c>
      <c r="C9" s="19" t="s">
        <v>26</v>
      </c>
      <c r="D9" s="20" t="s">
        <v>17</v>
      </c>
      <c r="E9" s="21">
        <v>5</v>
      </c>
      <c r="F9" s="19" t="s">
        <v>22</v>
      </c>
    </row>
    <row r="10" spans="1:6" ht="38.25" customHeight="1">
      <c r="A10" s="18" t="s">
        <v>240</v>
      </c>
      <c r="B10" s="19" t="s">
        <v>13</v>
      </c>
      <c r="C10" s="19" t="s">
        <v>300</v>
      </c>
      <c r="D10" s="20" t="s">
        <v>17</v>
      </c>
      <c r="E10" s="21">
        <v>3</v>
      </c>
      <c r="F10" s="19" t="s">
        <v>22</v>
      </c>
    </row>
    <row r="11" spans="1:6" ht="38.25" customHeight="1">
      <c r="A11" s="18" t="s">
        <v>29</v>
      </c>
      <c r="B11" s="19" t="s">
        <v>13</v>
      </c>
      <c r="C11" s="19" t="s">
        <v>30</v>
      </c>
      <c r="D11" s="22" t="s">
        <v>32</v>
      </c>
      <c r="E11" s="21">
        <v>2</v>
      </c>
      <c r="F11" s="19" t="s">
        <v>14</v>
      </c>
    </row>
    <row r="12" spans="1:6" ht="38.25" customHeight="1">
      <c r="A12" s="18" t="s">
        <v>228</v>
      </c>
      <c r="B12" s="19" t="s">
        <v>13</v>
      </c>
      <c r="C12" s="19" t="s">
        <v>301</v>
      </c>
      <c r="D12" s="20" t="s">
        <v>17</v>
      </c>
      <c r="E12" s="21">
        <v>3</v>
      </c>
      <c r="F12" s="19" t="s">
        <v>22</v>
      </c>
    </row>
    <row r="13" spans="1:6" ht="38.25" customHeight="1">
      <c r="A13" s="18" t="s">
        <v>33</v>
      </c>
      <c r="B13" s="19" t="s">
        <v>34</v>
      </c>
      <c r="C13" s="19" t="s">
        <v>36</v>
      </c>
      <c r="D13" s="20" t="s">
        <v>17</v>
      </c>
      <c r="E13" s="21">
        <v>3</v>
      </c>
      <c r="F13" s="19" t="s">
        <v>35</v>
      </c>
    </row>
    <row r="14" spans="1:6" ht="38.25" customHeight="1">
      <c r="A14" s="18" t="s">
        <v>38</v>
      </c>
      <c r="B14" s="19" t="s">
        <v>34</v>
      </c>
      <c r="C14" s="19" t="s">
        <v>302</v>
      </c>
      <c r="D14" s="20" t="s">
        <v>17</v>
      </c>
      <c r="E14" s="21">
        <v>3</v>
      </c>
      <c r="F14" s="19" t="s">
        <v>35</v>
      </c>
    </row>
    <row r="15" spans="1:6" ht="38.25" customHeight="1">
      <c r="A15" s="18" t="s">
        <v>41</v>
      </c>
      <c r="B15" s="19" t="s">
        <v>42</v>
      </c>
      <c r="C15" s="19" t="s">
        <v>44</v>
      </c>
      <c r="D15" s="20" t="s">
        <v>17</v>
      </c>
      <c r="E15" s="21">
        <v>3</v>
      </c>
      <c r="F15" s="19" t="s">
        <v>43</v>
      </c>
    </row>
    <row r="16" spans="1:6" ht="38.25" customHeight="1">
      <c r="A16" s="18" t="s">
        <v>47</v>
      </c>
      <c r="B16" s="19" t="s">
        <v>42</v>
      </c>
      <c r="C16" s="19" t="s">
        <v>48</v>
      </c>
      <c r="D16" s="22" t="s">
        <v>32</v>
      </c>
      <c r="E16" s="21">
        <v>2</v>
      </c>
      <c r="F16" s="19" t="s">
        <v>43</v>
      </c>
    </row>
    <row r="17" spans="1:6" ht="38.25" customHeight="1">
      <c r="A17" s="18" t="s">
        <v>51</v>
      </c>
      <c r="B17" s="19" t="s">
        <v>42</v>
      </c>
      <c r="C17" s="19" t="s">
        <v>303</v>
      </c>
      <c r="D17" s="23" t="s">
        <v>54</v>
      </c>
      <c r="E17" s="21">
        <v>2</v>
      </c>
      <c r="F17" s="19" t="s">
        <v>43</v>
      </c>
    </row>
    <row r="18" spans="1:6" ht="38.25" customHeight="1">
      <c r="A18" s="18" t="s">
        <v>232</v>
      </c>
      <c r="B18" s="19" t="s">
        <v>42</v>
      </c>
      <c r="C18" s="19" t="s">
        <v>304</v>
      </c>
      <c r="D18" s="22" t="s">
        <v>32</v>
      </c>
      <c r="E18" s="21">
        <v>3</v>
      </c>
      <c r="F18" s="19" t="s">
        <v>43</v>
      </c>
    </row>
    <row r="19" spans="1:6" ht="38.25" customHeight="1">
      <c r="A19" s="18" t="s">
        <v>146</v>
      </c>
      <c r="B19" s="19" t="s">
        <v>147</v>
      </c>
      <c r="C19" s="19" t="s">
        <v>149</v>
      </c>
      <c r="D19" s="20" t="s">
        <v>17</v>
      </c>
      <c r="E19" s="21">
        <v>3</v>
      </c>
      <c r="F19" s="19" t="s">
        <v>148</v>
      </c>
    </row>
    <row r="20" spans="1:6" ht="38.25" customHeight="1">
      <c r="A20" s="18" t="s">
        <v>151</v>
      </c>
      <c r="B20" s="19" t="s">
        <v>147</v>
      </c>
      <c r="C20" s="19" t="s">
        <v>152</v>
      </c>
      <c r="D20" s="20" t="s">
        <v>17</v>
      </c>
      <c r="E20" s="21">
        <v>3</v>
      </c>
      <c r="F20" s="19" t="s">
        <v>148</v>
      </c>
    </row>
    <row r="21" spans="1:6" ht="38.25" customHeight="1">
      <c r="A21" s="18" t="s">
        <v>154</v>
      </c>
      <c r="B21" s="19" t="s">
        <v>147</v>
      </c>
      <c r="C21" s="19" t="s">
        <v>155</v>
      </c>
      <c r="D21" s="22" t="s">
        <v>32</v>
      </c>
      <c r="E21" s="21">
        <v>3</v>
      </c>
      <c r="F21" s="19" t="s">
        <v>148</v>
      </c>
    </row>
    <row r="22" spans="1:6" ht="38.25" customHeight="1">
      <c r="A22" s="18" t="s">
        <v>157</v>
      </c>
      <c r="B22" s="19" t="s">
        <v>147</v>
      </c>
      <c r="C22" s="19" t="s">
        <v>158</v>
      </c>
      <c r="D22" s="22" t="s">
        <v>32</v>
      </c>
      <c r="E22" s="21">
        <v>2</v>
      </c>
      <c r="F22" s="19" t="s">
        <v>148</v>
      </c>
    </row>
    <row r="23" spans="1:6" ht="38.25" customHeight="1">
      <c r="A23" s="18" t="s">
        <v>179</v>
      </c>
      <c r="B23" s="19" t="s">
        <v>180</v>
      </c>
      <c r="C23" s="19" t="s">
        <v>305</v>
      </c>
      <c r="D23" s="20" t="s">
        <v>17</v>
      </c>
      <c r="E23" s="21">
        <v>3</v>
      </c>
      <c r="F23" s="19" t="s">
        <v>22</v>
      </c>
    </row>
    <row r="24" spans="1:6" ht="38.25" customHeight="1">
      <c r="A24" s="18" t="s">
        <v>184</v>
      </c>
      <c r="B24" s="19" t="s">
        <v>180</v>
      </c>
      <c r="C24" s="19" t="s">
        <v>185</v>
      </c>
      <c r="D24" s="22" t="s">
        <v>32</v>
      </c>
      <c r="E24" s="21">
        <v>2</v>
      </c>
      <c r="F24" s="19" t="s">
        <v>22</v>
      </c>
    </row>
    <row r="25" spans="1:6" ht="38.25" customHeight="1">
      <c r="A25" s="18" t="s">
        <v>187</v>
      </c>
      <c r="B25" s="19" t="s">
        <v>188</v>
      </c>
      <c r="C25" s="19" t="s">
        <v>189</v>
      </c>
      <c r="D25" s="23" t="s">
        <v>54</v>
      </c>
      <c r="E25" s="21">
        <v>1</v>
      </c>
      <c r="F25" s="19" t="s">
        <v>22</v>
      </c>
    </row>
    <row r="26" spans="1:6" ht="38.25" customHeight="1">
      <c r="A26" s="18" t="s">
        <v>192</v>
      </c>
      <c r="B26" s="19" t="s">
        <v>188</v>
      </c>
      <c r="C26" s="19" t="s">
        <v>193</v>
      </c>
      <c r="D26" s="23" t="s">
        <v>54</v>
      </c>
      <c r="E26" s="21">
        <v>1</v>
      </c>
      <c r="F26" s="19" t="s">
        <v>22</v>
      </c>
    </row>
    <row r="27" spans="1:6" ht="38.25" customHeight="1">
      <c r="A27" s="18" t="s">
        <v>224</v>
      </c>
      <c r="B27" s="19" t="s">
        <v>161</v>
      </c>
      <c r="C27" s="19" t="s">
        <v>306</v>
      </c>
      <c r="D27" s="20" t="s">
        <v>17</v>
      </c>
      <c r="E27" s="21">
        <v>5</v>
      </c>
      <c r="F27" s="19" t="s">
        <v>22</v>
      </c>
    </row>
    <row r="28" spans="1:6" ht="30" customHeight="1">
      <c r="A28" s="47" t="s">
        <v>307</v>
      </c>
      <c r="B28" s="47"/>
      <c r="C28" s="47"/>
      <c r="D28" s="47"/>
      <c r="E28" s="24">
        <f>SUM(E7:E27)</f>
        <v>58</v>
      </c>
      <c r="F28" s="25" t="str">
        <f>COUNTA(A7:A27)&amp;" historias"</f>
        <v>21 historias</v>
      </c>
    </row>
    <row r="29" spans="1:6" ht="38.25" customHeight="1"/>
    <row r="30" spans="1:6" ht="38.25" customHeight="1">
      <c r="A30" s="48" t="s">
        <v>60</v>
      </c>
      <c r="B30" s="48"/>
      <c r="C30" s="48"/>
      <c r="D30" s="48"/>
      <c r="E30" s="48"/>
      <c r="F30" s="48"/>
    </row>
    <row r="31" spans="1:6" ht="38.25" customHeight="1">
      <c r="A31" s="49" t="s">
        <v>308</v>
      </c>
      <c r="B31" s="49"/>
      <c r="C31" s="49"/>
      <c r="D31" s="49"/>
      <c r="E31" s="49"/>
      <c r="F31" s="49"/>
    </row>
    <row r="32" spans="1:6" ht="38.25" customHeight="1">
      <c r="A32" s="1" t="s">
        <v>2</v>
      </c>
      <c r="B32" s="1" t="s">
        <v>3</v>
      </c>
      <c r="C32" s="1" t="s">
        <v>297</v>
      </c>
      <c r="D32" s="1" t="s">
        <v>7</v>
      </c>
      <c r="E32" s="1" t="s">
        <v>10</v>
      </c>
      <c r="F32" s="1" t="s">
        <v>4</v>
      </c>
    </row>
    <row r="33" spans="1:6" ht="38.25" customHeight="1">
      <c r="A33" s="18" t="s">
        <v>55</v>
      </c>
      <c r="B33" s="19" t="s">
        <v>56</v>
      </c>
      <c r="C33" s="19" t="s">
        <v>309</v>
      </c>
      <c r="D33" s="20" t="s">
        <v>17</v>
      </c>
      <c r="E33" s="21">
        <v>3</v>
      </c>
      <c r="F33" s="19" t="s">
        <v>43</v>
      </c>
    </row>
    <row r="34" spans="1:6" ht="38.25" customHeight="1">
      <c r="A34" s="18" t="s">
        <v>61</v>
      </c>
      <c r="B34" s="19" t="s">
        <v>56</v>
      </c>
      <c r="C34" s="19" t="s">
        <v>310</v>
      </c>
      <c r="D34" s="22" t="s">
        <v>32</v>
      </c>
      <c r="E34" s="21">
        <v>3</v>
      </c>
      <c r="F34" s="19" t="s">
        <v>43</v>
      </c>
    </row>
    <row r="35" spans="1:6" ht="38.25" customHeight="1">
      <c r="A35" s="18" t="s">
        <v>65</v>
      </c>
      <c r="B35" s="19" t="s">
        <v>56</v>
      </c>
      <c r="C35" s="19" t="s">
        <v>66</v>
      </c>
      <c r="D35" s="20" t="s">
        <v>17</v>
      </c>
      <c r="E35" s="21">
        <v>3</v>
      </c>
      <c r="F35" s="19" t="s">
        <v>43</v>
      </c>
    </row>
    <row r="36" spans="1:6" ht="38.25" customHeight="1">
      <c r="A36" s="18" t="s">
        <v>69</v>
      </c>
      <c r="B36" s="19" t="s">
        <v>56</v>
      </c>
      <c r="C36" s="19" t="s">
        <v>311</v>
      </c>
      <c r="D36" s="20" t="s">
        <v>17</v>
      </c>
      <c r="E36" s="21">
        <v>3</v>
      </c>
      <c r="F36" s="19" t="s">
        <v>22</v>
      </c>
    </row>
    <row r="37" spans="1:6" ht="38.25" customHeight="1">
      <c r="A37" s="18" t="s">
        <v>71</v>
      </c>
      <c r="B37" s="19" t="s">
        <v>72</v>
      </c>
      <c r="C37" s="19" t="s">
        <v>312</v>
      </c>
      <c r="D37" s="20" t="s">
        <v>17</v>
      </c>
      <c r="E37" s="21">
        <v>3</v>
      </c>
      <c r="F37" s="19" t="s">
        <v>73</v>
      </c>
    </row>
    <row r="38" spans="1:6" ht="38.25" customHeight="1">
      <c r="A38" s="18" t="s">
        <v>244</v>
      </c>
      <c r="B38" s="19" t="s">
        <v>72</v>
      </c>
      <c r="C38" s="19" t="s">
        <v>313</v>
      </c>
      <c r="D38" s="20" t="s">
        <v>17</v>
      </c>
      <c r="E38" s="21">
        <v>3</v>
      </c>
      <c r="F38" s="19" t="s">
        <v>116</v>
      </c>
    </row>
    <row r="39" spans="1:6" ht="38.25" customHeight="1">
      <c r="A39" s="18" t="s">
        <v>77</v>
      </c>
      <c r="B39" s="19" t="s">
        <v>72</v>
      </c>
      <c r="C39" s="19" t="s">
        <v>79</v>
      </c>
      <c r="D39" s="20" t="s">
        <v>17</v>
      </c>
      <c r="E39" s="21">
        <v>3</v>
      </c>
      <c r="F39" s="19" t="s">
        <v>78</v>
      </c>
    </row>
    <row r="40" spans="1:6" ht="38.25" customHeight="1">
      <c r="A40" s="18" t="s">
        <v>236</v>
      </c>
      <c r="B40" s="19" t="s">
        <v>72</v>
      </c>
      <c r="C40" s="19" t="s">
        <v>314</v>
      </c>
      <c r="D40" s="22" t="s">
        <v>32</v>
      </c>
      <c r="E40" s="21">
        <v>3</v>
      </c>
      <c r="F40" s="19" t="s">
        <v>78</v>
      </c>
    </row>
    <row r="41" spans="1:6" ht="38.25" customHeight="1">
      <c r="A41" s="18" t="s">
        <v>82</v>
      </c>
      <c r="B41" s="19" t="s">
        <v>83</v>
      </c>
      <c r="C41" s="19" t="s">
        <v>315</v>
      </c>
      <c r="D41" s="20" t="s">
        <v>17</v>
      </c>
      <c r="E41" s="21">
        <v>3</v>
      </c>
      <c r="F41" s="19" t="s">
        <v>78</v>
      </c>
    </row>
    <row r="42" spans="1:6" ht="38.25" customHeight="1">
      <c r="A42" s="18" t="s">
        <v>87</v>
      </c>
      <c r="B42" s="19" t="s">
        <v>83</v>
      </c>
      <c r="C42" s="19" t="s">
        <v>316</v>
      </c>
      <c r="D42" s="20" t="s">
        <v>17</v>
      </c>
      <c r="E42" s="21">
        <v>5</v>
      </c>
      <c r="F42" s="19" t="s">
        <v>78</v>
      </c>
    </row>
    <row r="43" spans="1:6" ht="38.25" customHeight="1">
      <c r="A43" s="18" t="s">
        <v>206</v>
      </c>
      <c r="B43" s="19" t="s">
        <v>83</v>
      </c>
      <c r="C43" s="19" t="s">
        <v>317</v>
      </c>
      <c r="D43" s="20" t="s">
        <v>17</v>
      </c>
      <c r="E43" s="21">
        <v>5</v>
      </c>
      <c r="F43" s="19" t="s">
        <v>207</v>
      </c>
    </row>
    <row r="44" spans="1:6" ht="38.25" customHeight="1">
      <c r="A44" s="18" t="s">
        <v>96</v>
      </c>
      <c r="B44" s="19" t="s">
        <v>97</v>
      </c>
      <c r="C44" s="19" t="s">
        <v>318</v>
      </c>
      <c r="D44" s="20" t="s">
        <v>17</v>
      </c>
      <c r="E44" s="21">
        <v>5</v>
      </c>
      <c r="F44" s="19" t="s">
        <v>98</v>
      </c>
    </row>
    <row r="45" spans="1:6" ht="38.25" customHeight="1">
      <c r="A45" s="18" t="s">
        <v>102</v>
      </c>
      <c r="B45" s="19" t="s">
        <v>97</v>
      </c>
      <c r="C45" s="19" t="s">
        <v>319</v>
      </c>
      <c r="D45" s="20" t="s">
        <v>17</v>
      </c>
      <c r="E45" s="21">
        <v>3</v>
      </c>
      <c r="F45" s="19" t="s">
        <v>98</v>
      </c>
    </row>
    <row r="46" spans="1:6" ht="38.25" customHeight="1">
      <c r="A46" s="18" t="s">
        <v>211</v>
      </c>
      <c r="B46" s="19" t="s">
        <v>97</v>
      </c>
      <c r="C46" s="19" t="s">
        <v>320</v>
      </c>
      <c r="D46" s="20" t="s">
        <v>17</v>
      </c>
      <c r="E46" s="21">
        <v>3</v>
      </c>
      <c r="F46" s="19" t="s">
        <v>212</v>
      </c>
    </row>
    <row r="47" spans="1:6" ht="38.25" customHeight="1">
      <c r="A47" s="18" t="s">
        <v>110</v>
      </c>
      <c r="B47" s="19" t="s">
        <v>111</v>
      </c>
      <c r="C47" s="19" t="s">
        <v>113</v>
      </c>
      <c r="D47" s="20" t="s">
        <v>17</v>
      </c>
      <c r="E47" s="21">
        <v>5</v>
      </c>
      <c r="F47" s="19" t="s">
        <v>112</v>
      </c>
    </row>
    <row r="48" spans="1:6" ht="38.25" customHeight="1">
      <c r="A48" s="18" t="s">
        <v>115</v>
      </c>
      <c r="B48" s="19" t="s">
        <v>111</v>
      </c>
      <c r="C48" s="19" t="s">
        <v>117</v>
      </c>
      <c r="D48" s="20" t="s">
        <v>17</v>
      </c>
      <c r="E48" s="21">
        <v>3</v>
      </c>
      <c r="F48" s="19" t="s">
        <v>116</v>
      </c>
    </row>
    <row r="49" spans="1:6" ht="38.25" customHeight="1">
      <c r="A49" s="18" t="s">
        <v>120</v>
      </c>
      <c r="B49" s="19" t="s">
        <v>111</v>
      </c>
      <c r="C49" s="19" t="s">
        <v>121</v>
      </c>
      <c r="D49" s="22" t="s">
        <v>32</v>
      </c>
      <c r="E49" s="21">
        <v>2</v>
      </c>
      <c r="F49" s="19" t="s">
        <v>112</v>
      </c>
    </row>
    <row r="50" spans="1:6" ht="38.25" customHeight="1">
      <c r="A50" s="18" t="s">
        <v>123</v>
      </c>
      <c r="B50" s="19" t="s">
        <v>111</v>
      </c>
      <c r="C50" s="19" t="s">
        <v>124</v>
      </c>
      <c r="D50" s="20" t="s">
        <v>17</v>
      </c>
      <c r="E50" s="21">
        <v>3</v>
      </c>
      <c r="F50" s="19" t="s">
        <v>116</v>
      </c>
    </row>
    <row r="51" spans="1:6" ht="38.25" customHeight="1">
      <c r="A51" s="47" t="s">
        <v>321</v>
      </c>
      <c r="B51" s="47"/>
      <c r="C51" s="47"/>
      <c r="D51" s="47"/>
      <c r="E51" s="26">
        <f>SUM(E33:E50)</f>
        <v>61</v>
      </c>
      <c r="F51" s="25" t="str">
        <f>COUNTA(A33:A50)&amp;" historias"</f>
        <v>18 historias</v>
      </c>
    </row>
    <row r="52" spans="1:6" ht="38.25" customHeight="1"/>
    <row r="53" spans="1:6" ht="38.25" customHeight="1">
      <c r="A53" s="48" t="s">
        <v>95</v>
      </c>
      <c r="B53" s="48"/>
      <c r="C53" s="48"/>
      <c r="D53" s="48"/>
      <c r="E53" s="48"/>
      <c r="F53" s="48"/>
    </row>
    <row r="54" spans="1:6" ht="38.25" customHeight="1">
      <c r="A54" s="49" t="s">
        <v>322</v>
      </c>
      <c r="B54" s="49"/>
      <c r="C54" s="49"/>
      <c r="D54" s="49"/>
      <c r="E54" s="49"/>
      <c r="F54" s="49"/>
    </row>
    <row r="55" spans="1:6" ht="38.25" customHeight="1">
      <c r="A55" s="1" t="s">
        <v>2</v>
      </c>
      <c r="B55" s="1" t="s">
        <v>3</v>
      </c>
      <c r="C55" s="1" t="s">
        <v>297</v>
      </c>
      <c r="D55" s="1" t="s">
        <v>7</v>
      </c>
      <c r="E55" s="1" t="s">
        <v>10</v>
      </c>
      <c r="F55" s="1" t="s">
        <v>4</v>
      </c>
    </row>
    <row r="56" spans="1:6" ht="38.25" customHeight="1">
      <c r="A56" s="18" t="s">
        <v>91</v>
      </c>
      <c r="B56" s="19" t="s">
        <v>83</v>
      </c>
      <c r="C56" s="19" t="s">
        <v>92</v>
      </c>
      <c r="D56" s="22" t="s">
        <v>32</v>
      </c>
      <c r="E56" s="21">
        <v>2</v>
      </c>
      <c r="F56" s="19" t="s">
        <v>78</v>
      </c>
    </row>
    <row r="57" spans="1:6" ht="38.25" customHeight="1">
      <c r="A57" s="18" t="s">
        <v>106</v>
      </c>
      <c r="B57" s="19" t="s">
        <v>97</v>
      </c>
      <c r="C57" s="19" t="s">
        <v>107</v>
      </c>
      <c r="D57" s="22" t="s">
        <v>32</v>
      </c>
      <c r="E57" s="21">
        <v>2</v>
      </c>
      <c r="F57" s="19" t="s">
        <v>98</v>
      </c>
    </row>
    <row r="58" spans="1:6" ht="38.25" customHeight="1">
      <c r="A58" s="18" t="s">
        <v>127</v>
      </c>
      <c r="B58" s="19" t="s">
        <v>128</v>
      </c>
      <c r="C58" s="19" t="s">
        <v>323</v>
      </c>
      <c r="D58" s="20" t="s">
        <v>17</v>
      </c>
      <c r="E58" s="21">
        <v>2</v>
      </c>
      <c r="F58" s="19" t="s">
        <v>129</v>
      </c>
    </row>
    <row r="59" spans="1:6" ht="38.25" customHeight="1">
      <c r="A59" s="18" t="s">
        <v>132</v>
      </c>
      <c r="B59" s="19" t="s">
        <v>128</v>
      </c>
      <c r="C59" s="19" t="s">
        <v>324</v>
      </c>
      <c r="D59" s="20" t="s">
        <v>17</v>
      </c>
      <c r="E59" s="21">
        <v>2</v>
      </c>
      <c r="F59" s="19" t="s">
        <v>129</v>
      </c>
    </row>
    <row r="60" spans="1:6" ht="38.25" customHeight="1">
      <c r="A60" s="18" t="s">
        <v>135</v>
      </c>
      <c r="B60" s="19" t="s">
        <v>128</v>
      </c>
      <c r="C60" s="19" t="s">
        <v>325</v>
      </c>
      <c r="D60" s="20" t="s">
        <v>17</v>
      </c>
      <c r="E60" s="21">
        <v>3</v>
      </c>
      <c r="F60" s="19" t="s">
        <v>129</v>
      </c>
    </row>
    <row r="61" spans="1:6" ht="38.25" customHeight="1">
      <c r="A61" s="18" t="s">
        <v>139</v>
      </c>
      <c r="B61" s="19" t="s">
        <v>128</v>
      </c>
      <c r="C61" s="19" t="s">
        <v>326</v>
      </c>
      <c r="D61" s="22" t="s">
        <v>32</v>
      </c>
      <c r="E61" s="21">
        <v>2</v>
      </c>
      <c r="F61" s="19" t="s">
        <v>129</v>
      </c>
    </row>
    <row r="62" spans="1:6" ht="38.25" customHeight="1">
      <c r="A62" s="18" t="s">
        <v>142</v>
      </c>
      <c r="B62" s="19" t="s">
        <v>128</v>
      </c>
      <c r="C62" s="19" t="s">
        <v>143</v>
      </c>
      <c r="D62" s="22" t="s">
        <v>32</v>
      </c>
      <c r="E62" s="21">
        <v>3</v>
      </c>
      <c r="F62" s="19" t="s">
        <v>129</v>
      </c>
    </row>
    <row r="63" spans="1:6" ht="38.25" customHeight="1">
      <c r="A63" s="18" t="s">
        <v>216</v>
      </c>
      <c r="B63" s="19" t="s">
        <v>128</v>
      </c>
      <c r="C63" s="19" t="s">
        <v>327</v>
      </c>
      <c r="D63" s="20" t="s">
        <v>17</v>
      </c>
      <c r="E63" s="21">
        <v>3</v>
      </c>
      <c r="F63" s="19" t="s">
        <v>129</v>
      </c>
    </row>
    <row r="64" spans="1:6" ht="38.25" customHeight="1">
      <c r="A64" s="18" t="s">
        <v>160</v>
      </c>
      <c r="B64" s="19" t="s">
        <v>161</v>
      </c>
      <c r="C64" s="19" t="s">
        <v>328</v>
      </c>
      <c r="D64" s="20" t="s">
        <v>17</v>
      </c>
      <c r="E64" s="21">
        <v>5</v>
      </c>
      <c r="F64" s="19" t="s">
        <v>22</v>
      </c>
    </row>
    <row r="65" spans="1:6" ht="38.25" customHeight="1">
      <c r="A65" s="18" t="s">
        <v>165</v>
      </c>
      <c r="B65" s="19" t="s">
        <v>161</v>
      </c>
      <c r="C65" s="19" t="s">
        <v>329</v>
      </c>
      <c r="D65" s="20" t="s">
        <v>17</v>
      </c>
      <c r="E65" s="21">
        <v>3</v>
      </c>
      <c r="F65" s="19" t="s">
        <v>14</v>
      </c>
    </row>
    <row r="66" spans="1:6" ht="38.25" customHeight="1">
      <c r="A66" s="18" t="s">
        <v>168</v>
      </c>
      <c r="B66" s="19" t="s">
        <v>161</v>
      </c>
      <c r="C66" s="19" t="s">
        <v>169</v>
      </c>
      <c r="D66" s="22" t="s">
        <v>32</v>
      </c>
      <c r="E66" s="21">
        <v>3</v>
      </c>
      <c r="F66" s="19" t="s">
        <v>148</v>
      </c>
    </row>
    <row r="67" spans="1:6" ht="38.25" customHeight="1">
      <c r="A67" s="18" t="s">
        <v>171</v>
      </c>
      <c r="B67" s="19" t="s">
        <v>161</v>
      </c>
      <c r="C67" s="19" t="s">
        <v>330</v>
      </c>
      <c r="D67" s="22" t="s">
        <v>32</v>
      </c>
      <c r="E67" s="21">
        <v>3</v>
      </c>
      <c r="F67" s="19" t="s">
        <v>43</v>
      </c>
    </row>
    <row r="68" spans="1:6" ht="38.25" customHeight="1">
      <c r="A68" s="18" t="s">
        <v>175</v>
      </c>
      <c r="B68" s="19" t="s">
        <v>161</v>
      </c>
      <c r="C68" s="19" t="s">
        <v>176</v>
      </c>
      <c r="D68" s="22" t="s">
        <v>32</v>
      </c>
      <c r="E68" s="21">
        <v>2</v>
      </c>
      <c r="F68" s="19" t="s">
        <v>14</v>
      </c>
    </row>
    <row r="69" spans="1:6" ht="38.25" customHeight="1">
      <c r="A69" s="18" t="s">
        <v>220</v>
      </c>
      <c r="B69" s="19" t="s">
        <v>147</v>
      </c>
      <c r="C69" s="19" t="s">
        <v>221</v>
      </c>
      <c r="D69" s="20" t="s">
        <v>17</v>
      </c>
      <c r="E69" s="21">
        <v>5</v>
      </c>
      <c r="F69" s="19" t="s">
        <v>148</v>
      </c>
    </row>
    <row r="70" spans="1:6" ht="38.25" customHeight="1">
      <c r="A70" s="18" t="s">
        <v>196</v>
      </c>
      <c r="B70" s="19" t="s">
        <v>197</v>
      </c>
      <c r="C70" s="19" t="s">
        <v>199</v>
      </c>
      <c r="D70" s="23" t="s">
        <v>54</v>
      </c>
      <c r="E70" s="21">
        <v>3</v>
      </c>
      <c r="F70" s="19" t="s">
        <v>198</v>
      </c>
    </row>
    <row r="71" spans="1:6" ht="38.25" customHeight="1">
      <c r="A71" s="18" t="s">
        <v>202</v>
      </c>
      <c r="B71" s="19" t="s">
        <v>161</v>
      </c>
      <c r="C71" s="19" t="s">
        <v>203</v>
      </c>
      <c r="D71" s="23" t="s">
        <v>54</v>
      </c>
      <c r="E71" s="21">
        <v>1</v>
      </c>
      <c r="F71" s="19" t="s">
        <v>14</v>
      </c>
    </row>
    <row r="72" spans="1:6">
      <c r="A72" s="47" t="s">
        <v>331</v>
      </c>
      <c r="B72" s="47"/>
      <c r="C72" s="47"/>
      <c r="D72" s="47"/>
      <c r="E72" s="27">
        <f>SUM(E56:E71)</f>
        <v>44</v>
      </c>
      <c r="F72" s="25" t="str">
        <f>COUNTA(A56:A71)&amp;" historias"</f>
        <v>16 historias</v>
      </c>
    </row>
  </sheetData>
  <mergeCells count="11">
    <mergeCell ref="A1:F1"/>
    <mergeCell ref="A2:F2"/>
    <mergeCell ref="A4:F4"/>
    <mergeCell ref="A5:F5"/>
    <mergeCell ref="A28:D28"/>
    <mergeCell ref="A72:D72"/>
    <mergeCell ref="A30:F30"/>
    <mergeCell ref="A31:F31"/>
    <mergeCell ref="A51:D51"/>
    <mergeCell ref="A53:F53"/>
    <mergeCell ref="A54:F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35"/>
  <sheetViews>
    <sheetView workbookViewId="0">
      <pane ySplit="4" topLeftCell="A5" activePane="bottomLeft" state="frozen"/>
      <selection pane="bottomLeft" sqref="A1:I1"/>
    </sheetView>
  </sheetViews>
  <sheetFormatPr defaultColWidth="8.7109375" defaultRowHeight="15"/>
  <cols>
    <col min="1" max="1" width="10" customWidth="1"/>
    <col min="2" max="2" width="26" customWidth="1"/>
    <col min="3" max="3" width="20" customWidth="1"/>
    <col min="4" max="4" width="44" customWidth="1"/>
    <col min="5" max="5" width="13" customWidth="1"/>
    <col min="6" max="6" width="44" customWidth="1"/>
    <col min="7" max="7" width="52" customWidth="1"/>
    <col min="8" max="8" width="26" customWidth="1"/>
    <col min="9" max="9" width="48" customWidth="1"/>
  </cols>
  <sheetData>
    <row r="1" spans="1:9" ht="18" customHeight="1">
      <c r="A1" s="52" t="s">
        <v>332</v>
      </c>
      <c r="B1" s="52"/>
      <c r="C1" s="52"/>
      <c r="D1" s="52"/>
      <c r="E1" s="52"/>
      <c r="F1" s="52"/>
      <c r="G1" s="52"/>
      <c r="H1" s="52"/>
      <c r="I1" s="52"/>
    </row>
    <row r="2" spans="1:9" ht="39.75" customHeight="1">
      <c r="A2" s="44" t="s">
        <v>333</v>
      </c>
      <c r="B2" s="44"/>
      <c r="C2" s="44"/>
      <c r="D2" s="44"/>
      <c r="E2" s="44"/>
      <c r="F2" s="44"/>
      <c r="G2" s="44"/>
      <c r="H2" s="44"/>
      <c r="I2" s="44"/>
    </row>
    <row r="4" spans="1:9" ht="30" customHeight="1">
      <c r="A4" s="1" t="s">
        <v>2</v>
      </c>
      <c r="B4" s="1" t="s">
        <v>3</v>
      </c>
      <c r="C4" s="1" t="s">
        <v>4</v>
      </c>
      <c r="D4" s="1" t="s">
        <v>297</v>
      </c>
      <c r="E4" s="1" t="s">
        <v>8</v>
      </c>
      <c r="F4" s="1" t="s">
        <v>334</v>
      </c>
      <c r="G4" s="1" t="s">
        <v>335</v>
      </c>
      <c r="H4" s="1" t="s">
        <v>336</v>
      </c>
      <c r="I4" s="1" t="s">
        <v>9</v>
      </c>
    </row>
    <row r="5" spans="1:9" ht="70.5" customHeight="1">
      <c r="A5" s="3" t="s">
        <v>12</v>
      </c>
      <c r="B5" s="4" t="s">
        <v>13</v>
      </c>
      <c r="C5" s="4" t="s">
        <v>14</v>
      </c>
      <c r="D5" s="4" t="s">
        <v>337</v>
      </c>
      <c r="E5" s="14" t="s">
        <v>338</v>
      </c>
      <c r="F5" s="4" t="s">
        <v>339</v>
      </c>
      <c r="G5" s="4" t="s">
        <v>340</v>
      </c>
      <c r="H5" s="4" t="s">
        <v>341</v>
      </c>
      <c r="I5" s="4" t="s">
        <v>342</v>
      </c>
    </row>
    <row r="6" spans="1:9" ht="31.5" customHeight="1">
      <c r="A6" s="3" t="s">
        <v>29</v>
      </c>
      <c r="B6" s="4" t="s">
        <v>13</v>
      </c>
      <c r="C6" s="4" t="s">
        <v>14</v>
      </c>
      <c r="D6" s="4" t="s">
        <v>343</v>
      </c>
      <c r="E6" s="14" t="s">
        <v>338</v>
      </c>
      <c r="F6" s="4" t="s">
        <v>344</v>
      </c>
      <c r="G6" s="4" t="s">
        <v>345</v>
      </c>
      <c r="H6" s="4" t="s">
        <v>346</v>
      </c>
      <c r="I6" s="4" t="s">
        <v>347</v>
      </c>
    </row>
    <row r="7" spans="1:9" ht="45" customHeight="1">
      <c r="A7" s="3" t="s">
        <v>21</v>
      </c>
      <c r="B7" s="4" t="s">
        <v>13</v>
      </c>
      <c r="C7" s="4" t="s">
        <v>22</v>
      </c>
      <c r="D7" s="4" t="s">
        <v>348</v>
      </c>
      <c r="E7" s="14" t="s">
        <v>338</v>
      </c>
      <c r="F7" s="4" t="s">
        <v>349</v>
      </c>
      <c r="G7" s="4" t="s">
        <v>350</v>
      </c>
      <c r="H7" s="4" t="s">
        <v>351</v>
      </c>
      <c r="I7" s="4" t="s">
        <v>352</v>
      </c>
    </row>
    <row r="8" spans="1:9" ht="57.75" customHeight="1">
      <c r="A8" s="3" t="s">
        <v>228</v>
      </c>
      <c r="B8" s="4" t="s">
        <v>13</v>
      </c>
      <c r="C8" s="4" t="s">
        <v>22</v>
      </c>
      <c r="D8" s="4" t="s">
        <v>353</v>
      </c>
      <c r="E8" s="14" t="s">
        <v>338</v>
      </c>
      <c r="F8" s="4" t="s">
        <v>354</v>
      </c>
      <c r="G8" s="4" t="s">
        <v>355</v>
      </c>
      <c r="H8" s="4" t="s">
        <v>356</v>
      </c>
      <c r="I8" s="4" t="s">
        <v>357</v>
      </c>
    </row>
    <row r="9" spans="1:9" ht="57.75" customHeight="1">
      <c r="A9" s="3" t="s">
        <v>25</v>
      </c>
      <c r="B9" s="4" t="s">
        <v>13</v>
      </c>
      <c r="C9" s="4" t="s">
        <v>22</v>
      </c>
      <c r="D9" s="4" t="s">
        <v>358</v>
      </c>
      <c r="E9" s="14" t="s">
        <v>338</v>
      </c>
      <c r="F9" s="4" t="s">
        <v>359</v>
      </c>
      <c r="G9" s="4" t="s">
        <v>360</v>
      </c>
      <c r="H9" s="4" t="s">
        <v>361</v>
      </c>
      <c r="I9" s="4" t="s">
        <v>362</v>
      </c>
    </row>
    <row r="10" spans="1:9" ht="31.5" customHeight="1">
      <c r="A10" s="3" t="s">
        <v>240</v>
      </c>
      <c r="B10" s="4" t="s">
        <v>13</v>
      </c>
      <c r="C10" s="4" t="s">
        <v>22</v>
      </c>
      <c r="D10" s="4" t="s">
        <v>363</v>
      </c>
      <c r="E10" s="14" t="s">
        <v>338</v>
      </c>
      <c r="F10" s="4" t="s">
        <v>364</v>
      </c>
      <c r="G10" s="4" t="s">
        <v>365</v>
      </c>
      <c r="H10" s="4" t="s">
        <v>366</v>
      </c>
      <c r="I10" s="4" t="s">
        <v>367</v>
      </c>
    </row>
    <row r="11" spans="1:9" ht="45" customHeight="1">
      <c r="A11" s="3" t="s">
        <v>33</v>
      </c>
      <c r="B11" s="4" t="s">
        <v>34</v>
      </c>
      <c r="C11" s="4" t="s">
        <v>35</v>
      </c>
      <c r="D11" s="4" t="s">
        <v>368</v>
      </c>
      <c r="E11" s="14" t="s">
        <v>338</v>
      </c>
      <c r="F11" s="4" t="s">
        <v>369</v>
      </c>
      <c r="G11" s="4" t="s">
        <v>370</v>
      </c>
      <c r="H11" s="4" t="s">
        <v>371</v>
      </c>
      <c r="I11" s="4" t="s">
        <v>372</v>
      </c>
    </row>
    <row r="12" spans="1:9" ht="57.75" customHeight="1">
      <c r="A12" s="3" t="s">
        <v>38</v>
      </c>
      <c r="B12" s="4" t="s">
        <v>34</v>
      </c>
      <c r="C12" s="4" t="s">
        <v>35</v>
      </c>
      <c r="D12" s="4" t="s">
        <v>373</v>
      </c>
      <c r="E12" s="14" t="s">
        <v>338</v>
      </c>
      <c r="F12" s="4" t="s">
        <v>374</v>
      </c>
      <c r="G12" s="4" t="s">
        <v>375</v>
      </c>
      <c r="H12" s="4" t="s">
        <v>376</v>
      </c>
      <c r="I12" s="4" t="s">
        <v>377</v>
      </c>
    </row>
    <row r="13" spans="1:9" ht="57.75" customHeight="1">
      <c r="A13" s="3" t="s">
        <v>41</v>
      </c>
      <c r="B13" s="4" t="s">
        <v>42</v>
      </c>
      <c r="C13" s="4" t="s">
        <v>43</v>
      </c>
      <c r="D13" s="4" t="s">
        <v>378</v>
      </c>
      <c r="E13" s="14" t="s">
        <v>338</v>
      </c>
      <c r="F13" s="4" t="s">
        <v>379</v>
      </c>
      <c r="G13" s="4" t="s">
        <v>380</v>
      </c>
      <c r="H13" s="4" t="s">
        <v>381</v>
      </c>
      <c r="I13" s="4" t="s">
        <v>382</v>
      </c>
    </row>
    <row r="14" spans="1:9" ht="57.75" customHeight="1">
      <c r="A14" s="3" t="s">
        <v>47</v>
      </c>
      <c r="B14" s="4" t="s">
        <v>42</v>
      </c>
      <c r="C14" s="4" t="s">
        <v>43</v>
      </c>
      <c r="D14" s="4" t="s">
        <v>383</v>
      </c>
      <c r="E14" s="14" t="s">
        <v>338</v>
      </c>
      <c r="F14" s="4" t="s">
        <v>384</v>
      </c>
      <c r="G14" s="4" t="s">
        <v>385</v>
      </c>
      <c r="H14" s="4" t="s">
        <v>386</v>
      </c>
      <c r="I14" s="4" t="s">
        <v>387</v>
      </c>
    </row>
    <row r="15" spans="1:9" ht="57.75" customHeight="1">
      <c r="A15" s="3" t="s">
        <v>51</v>
      </c>
      <c r="B15" s="4" t="s">
        <v>42</v>
      </c>
      <c r="C15" s="4" t="s">
        <v>43</v>
      </c>
      <c r="D15" s="4" t="s">
        <v>388</v>
      </c>
      <c r="E15" s="14" t="s">
        <v>338</v>
      </c>
      <c r="F15" s="4" t="s">
        <v>389</v>
      </c>
      <c r="G15" s="4" t="s">
        <v>390</v>
      </c>
      <c r="H15" s="4" t="s">
        <v>391</v>
      </c>
      <c r="I15" s="4" t="s">
        <v>392</v>
      </c>
    </row>
    <row r="16" spans="1:9" ht="57.75" customHeight="1">
      <c r="A16" s="3" t="s">
        <v>232</v>
      </c>
      <c r="B16" s="4" t="s">
        <v>42</v>
      </c>
      <c r="C16" s="4" t="s">
        <v>43</v>
      </c>
      <c r="D16" s="4" t="s">
        <v>393</v>
      </c>
      <c r="E16" s="15" t="s">
        <v>394</v>
      </c>
      <c r="F16" s="4" t="s">
        <v>395</v>
      </c>
      <c r="G16" s="4" t="s">
        <v>396</v>
      </c>
      <c r="H16" s="4" t="s">
        <v>397</v>
      </c>
      <c r="I16" s="4" t="s">
        <v>398</v>
      </c>
    </row>
    <row r="17" spans="1:9" ht="31.5" customHeight="1">
      <c r="A17" s="3" t="s">
        <v>146</v>
      </c>
      <c r="B17" s="4" t="s">
        <v>147</v>
      </c>
      <c r="C17" s="4" t="s">
        <v>148</v>
      </c>
      <c r="D17" s="4" t="s">
        <v>399</v>
      </c>
      <c r="E17" s="14" t="s">
        <v>338</v>
      </c>
      <c r="F17" s="4" t="s">
        <v>400</v>
      </c>
      <c r="G17" s="4" t="s">
        <v>401</v>
      </c>
      <c r="H17" s="4" t="s">
        <v>402</v>
      </c>
      <c r="I17" s="4" t="s">
        <v>403</v>
      </c>
    </row>
    <row r="18" spans="1:9" ht="45" customHeight="1">
      <c r="A18" s="3" t="s">
        <v>151</v>
      </c>
      <c r="B18" s="4" t="s">
        <v>147</v>
      </c>
      <c r="C18" s="4" t="s">
        <v>148</v>
      </c>
      <c r="D18" s="4" t="s">
        <v>404</v>
      </c>
      <c r="E18" s="14" t="s">
        <v>338</v>
      </c>
      <c r="F18" s="4" t="s">
        <v>405</v>
      </c>
      <c r="G18" s="4" t="s">
        <v>406</v>
      </c>
      <c r="H18" s="4" t="s">
        <v>407</v>
      </c>
      <c r="I18" s="4" t="s">
        <v>408</v>
      </c>
    </row>
    <row r="19" spans="1:9" ht="31.5" customHeight="1">
      <c r="A19" s="3" t="s">
        <v>154</v>
      </c>
      <c r="B19" s="4" t="s">
        <v>147</v>
      </c>
      <c r="C19" s="4" t="s">
        <v>148</v>
      </c>
      <c r="D19" s="4" t="s">
        <v>409</v>
      </c>
      <c r="E19" s="14" t="s">
        <v>338</v>
      </c>
      <c r="F19" s="4" t="s">
        <v>410</v>
      </c>
      <c r="G19" s="4" t="s">
        <v>411</v>
      </c>
      <c r="H19" s="4" t="s">
        <v>412</v>
      </c>
      <c r="I19" s="4" t="s">
        <v>413</v>
      </c>
    </row>
    <row r="20" spans="1:9" ht="31.5" customHeight="1">
      <c r="A20" s="3" t="s">
        <v>157</v>
      </c>
      <c r="B20" s="4" t="s">
        <v>147</v>
      </c>
      <c r="C20" s="4" t="s">
        <v>148</v>
      </c>
      <c r="D20" s="4" t="s">
        <v>414</v>
      </c>
      <c r="E20" s="14" t="s">
        <v>338</v>
      </c>
      <c r="F20" s="4" t="s">
        <v>415</v>
      </c>
      <c r="G20" s="4" t="s">
        <v>416</v>
      </c>
      <c r="H20" s="4" t="s">
        <v>417</v>
      </c>
      <c r="I20" s="4" t="s">
        <v>418</v>
      </c>
    </row>
    <row r="21" spans="1:9" ht="45" customHeight="1">
      <c r="A21" s="3" t="s">
        <v>179</v>
      </c>
      <c r="B21" s="4" t="s">
        <v>180</v>
      </c>
      <c r="C21" s="4" t="s">
        <v>22</v>
      </c>
      <c r="D21" s="4" t="s">
        <v>419</v>
      </c>
      <c r="E21" s="15" t="s">
        <v>394</v>
      </c>
      <c r="F21" s="4" t="s">
        <v>420</v>
      </c>
      <c r="G21" s="4" t="s">
        <v>421</v>
      </c>
      <c r="H21" s="4" t="s">
        <v>422</v>
      </c>
      <c r="I21" s="4" t="s">
        <v>423</v>
      </c>
    </row>
    <row r="22" spans="1:9" ht="45" customHeight="1">
      <c r="A22" s="3" t="s">
        <v>184</v>
      </c>
      <c r="B22" s="4" t="s">
        <v>180</v>
      </c>
      <c r="C22" s="4" t="s">
        <v>22</v>
      </c>
      <c r="D22" s="4" t="s">
        <v>424</v>
      </c>
      <c r="E22" s="14" t="s">
        <v>338</v>
      </c>
      <c r="F22" s="4" t="s">
        <v>425</v>
      </c>
      <c r="G22" s="4" t="s">
        <v>426</v>
      </c>
      <c r="H22" s="4" t="s">
        <v>427</v>
      </c>
      <c r="I22" s="4" t="s">
        <v>428</v>
      </c>
    </row>
    <row r="23" spans="1:9" ht="31.5" customHeight="1">
      <c r="A23" s="3" t="s">
        <v>187</v>
      </c>
      <c r="B23" s="4" t="s">
        <v>188</v>
      </c>
      <c r="C23" s="4" t="s">
        <v>22</v>
      </c>
      <c r="D23" s="4" t="s">
        <v>429</v>
      </c>
      <c r="E23" s="14" t="s">
        <v>338</v>
      </c>
      <c r="F23" s="4" t="s">
        <v>430</v>
      </c>
      <c r="G23" s="4" t="s">
        <v>431</v>
      </c>
      <c r="H23" s="4" t="s">
        <v>432</v>
      </c>
      <c r="I23" s="4" t="s">
        <v>433</v>
      </c>
    </row>
    <row r="24" spans="1:9" ht="45" customHeight="1">
      <c r="A24" s="3" t="s">
        <v>192</v>
      </c>
      <c r="B24" s="4" t="s">
        <v>188</v>
      </c>
      <c r="C24" s="4" t="s">
        <v>22</v>
      </c>
      <c r="D24" s="4" t="s">
        <v>434</v>
      </c>
      <c r="E24" s="14" t="s">
        <v>338</v>
      </c>
      <c r="F24" s="4" t="s">
        <v>435</v>
      </c>
      <c r="G24" s="4" t="s">
        <v>436</v>
      </c>
      <c r="H24" s="4" t="s">
        <v>437</v>
      </c>
      <c r="I24" s="4" t="s">
        <v>438</v>
      </c>
    </row>
    <row r="25" spans="1:9" ht="70.5" customHeight="1">
      <c r="A25" s="3" t="s">
        <v>224</v>
      </c>
      <c r="B25" s="4" t="s">
        <v>161</v>
      </c>
      <c r="C25" s="4" t="s">
        <v>22</v>
      </c>
      <c r="D25" s="4" t="s">
        <v>439</v>
      </c>
      <c r="E25" s="14" t="s">
        <v>338</v>
      </c>
      <c r="F25" s="4" t="s">
        <v>440</v>
      </c>
      <c r="G25" s="4" t="s">
        <v>441</v>
      </c>
      <c r="H25" s="4" t="s">
        <v>442</v>
      </c>
      <c r="I25" s="4" t="s">
        <v>443</v>
      </c>
    </row>
    <row r="27" spans="1:9" ht="15.75" customHeight="1">
      <c r="A27" s="16" t="s">
        <v>444</v>
      </c>
      <c r="B27" s="17"/>
      <c r="C27" s="17"/>
      <c r="D27" s="17"/>
      <c r="E27" s="17"/>
      <c r="F27" s="17"/>
      <c r="G27" s="17"/>
      <c r="H27" s="17"/>
      <c r="I27" s="17"/>
    </row>
    <row r="28" spans="1:9">
      <c r="A28" s="51" t="s">
        <v>445</v>
      </c>
      <c r="B28" s="51"/>
      <c r="C28" s="51"/>
      <c r="D28" s="51" t="s">
        <v>446</v>
      </c>
      <c r="E28" s="51"/>
      <c r="F28" s="51"/>
      <c r="G28" s="51" t="s">
        <v>447</v>
      </c>
      <c r="H28" s="51"/>
      <c r="I28" s="51"/>
    </row>
    <row r="29" spans="1:9" ht="45" customHeight="1">
      <c r="A29" s="50" t="s">
        <v>448</v>
      </c>
      <c r="B29" s="50"/>
      <c r="C29" s="50"/>
      <c r="D29" s="42" t="s">
        <v>449</v>
      </c>
      <c r="E29" s="42"/>
      <c r="F29" s="42"/>
      <c r="G29" s="42" t="s">
        <v>450</v>
      </c>
      <c r="H29" s="42"/>
      <c r="I29" s="42"/>
    </row>
    <row r="30" spans="1:9" ht="70.5" customHeight="1">
      <c r="A30" s="50" t="s">
        <v>451</v>
      </c>
      <c r="B30" s="50"/>
      <c r="C30" s="50"/>
      <c r="D30" s="42" t="s">
        <v>452</v>
      </c>
      <c r="E30" s="42"/>
      <c r="F30" s="42"/>
      <c r="G30" s="42" t="s">
        <v>453</v>
      </c>
      <c r="H30" s="42"/>
      <c r="I30" s="42"/>
    </row>
    <row r="31" spans="1:9" ht="57.75" customHeight="1">
      <c r="A31" s="50" t="s">
        <v>454</v>
      </c>
      <c r="B31" s="50"/>
      <c r="C31" s="50"/>
      <c r="D31" s="42" t="s">
        <v>455</v>
      </c>
      <c r="E31" s="42"/>
      <c r="F31" s="42"/>
      <c r="G31" s="42" t="s">
        <v>456</v>
      </c>
      <c r="H31" s="42"/>
      <c r="I31" s="42"/>
    </row>
    <row r="32" spans="1:9" ht="31.5" customHeight="1">
      <c r="A32" s="50" t="s">
        <v>457</v>
      </c>
      <c r="B32" s="50"/>
      <c r="C32" s="50"/>
      <c r="D32" s="42" t="s">
        <v>458</v>
      </c>
      <c r="E32" s="42"/>
      <c r="F32" s="42"/>
      <c r="G32" s="42" t="s">
        <v>459</v>
      </c>
      <c r="H32" s="42"/>
      <c r="I32" s="42"/>
    </row>
    <row r="33" spans="1:9" ht="31.5" customHeight="1">
      <c r="A33" s="50" t="s">
        <v>460</v>
      </c>
      <c r="B33" s="50"/>
      <c r="C33" s="50"/>
      <c r="D33" s="42" t="s">
        <v>461</v>
      </c>
      <c r="E33" s="42"/>
      <c r="F33" s="42"/>
      <c r="G33" s="42" t="s">
        <v>462</v>
      </c>
      <c r="H33" s="42"/>
      <c r="I33" s="42"/>
    </row>
    <row r="34" spans="1:9" ht="30" customHeight="1">
      <c r="A34" s="50" t="s">
        <v>463</v>
      </c>
      <c r="B34" s="50"/>
      <c r="C34" s="50"/>
      <c r="D34" s="42" t="s">
        <v>464</v>
      </c>
      <c r="E34" s="42"/>
      <c r="F34" s="42"/>
      <c r="G34" s="42" t="s">
        <v>465</v>
      </c>
      <c r="H34" s="42"/>
      <c r="I34" s="42"/>
    </row>
    <row r="35" spans="1:9" ht="45" customHeight="1">
      <c r="A35" s="50" t="s">
        <v>466</v>
      </c>
      <c r="B35" s="50"/>
      <c r="C35" s="50"/>
      <c r="D35" s="42" t="s">
        <v>467</v>
      </c>
      <c r="E35" s="42"/>
      <c r="F35" s="42"/>
      <c r="G35" s="42" t="s">
        <v>468</v>
      </c>
      <c r="H35" s="42"/>
      <c r="I35" s="42"/>
    </row>
  </sheetData>
  <autoFilter ref="A4:I25" xr:uid="{00000000-0009-0000-0000-000004000000}"/>
  <mergeCells count="26">
    <mergeCell ref="A1:I1"/>
    <mergeCell ref="A2:I2"/>
    <mergeCell ref="A28:C28"/>
    <mergeCell ref="D28:F28"/>
    <mergeCell ref="G28:I28"/>
    <mergeCell ref="A29:C29"/>
    <mergeCell ref="D29:F29"/>
    <mergeCell ref="G29:I29"/>
    <mergeCell ref="A30:C30"/>
    <mergeCell ref="D30:F30"/>
    <mergeCell ref="G30:I30"/>
    <mergeCell ref="A31:C31"/>
    <mergeCell ref="D31:F31"/>
    <mergeCell ref="G31:I31"/>
    <mergeCell ref="A32:C32"/>
    <mergeCell ref="D32:F32"/>
    <mergeCell ref="G32:I32"/>
    <mergeCell ref="A35:C35"/>
    <mergeCell ref="D35:F35"/>
    <mergeCell ref="G35:I35"/>
    <mergeCell ref="A33:C33"/>
    <mergeCell ref="D33:F33"/>
    <mergeCell ref="G33:I33"/>
    <mergeCell ref="A34:C34"/>
    <mergeCell ref="D34:F34"/>
    <mergeCell ref="G34:I34"/>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4"/>
  <sheetViews>
    <sheetView tabSelected="1" workbookViewId="0">
      <pane xSplit="2" ySplit="4" topLeftCell="C5" activePane="bottomRight" state="frozen"/>
      <selection pane="bottomRight" sqref="A1:M1"/>
      <selection pane="bottomLeft"/>
      <selection pane="topRight"/>
    </sheetView>
  </sheetViews>
  <sheetFormatPr defaultColWidth="8.7109375" defaultRowHeight="15"/>
  <cols>
    <col min="1" max="1" width="30" customWidth="1"/>
    <col min="2" max="2" width="10" customWidth="1"/>
    <col min="3" max="3" width="28" customWidth="1"/>
    <col min="4" max="4" width="20" customWidth="1"/>
    <col min="5" max="5" width="46" customWidth="1"/>
    <col min="6" max="6" width="10" customWidth="1"/>
    <col min="7" max="7" width="8" customWidth="1"/>
    <col min="8" max="8" width="58" customWidth="1"/>
    <col min="9" max="9" width="13" customWidth="1"/>
    <col min="10" max="11" width="32" customWidth="1"/>
    <col min="12" max="12" width="24" customWidth="1"/>
    <col min="13" max="13" width="46" customWidth="1"/>
  </cols>
  <sheetData>
    <row r="1" spans="1:13" ht="18" customHeight="1">
      <c r="A1" s="52" t="s">
        <v>469</v>
      </c>
      <c r="B1" s="52"/>
      <c r="C1" s="52"/>
      <c r="D1" s="52"/>
      <c r="E1" s="52"/>
      <c r="F1" s="52"/>
      <c r="G1" s="52"/>
      <c r="H1" s="52"/>
      <c r="I1" s="52"/>
      <c r="J1" s="52"/>
      <c r="K1" s="52"/>
      <c r="L1" s="52"/>
      <c r="M1" s="52"/>
    </row>
    <row r="2" spans="1:13" ht="42" customHeight="1">
      <c r="A2" s="44" t="s">
        <v>470</v>
      </c>
      <c r="B2" s="44"/>
      <c r="C2" s="44"/>
      <c r="D2" s="44"/>
      <c r="E2" s="44"/>
      <c r="F2" s="44"/>
      <c r="G2" s="44"/>
      <c r="H2" s="44"/>
      <c r="I2" s="44"/>
      <c r="J2" s="44"/>
      <c r="K2" s="44"/>
      <c r="L2" s="44"/>
      <c r="M2" s="44"/>
    </row>
    <row r="4" spans="1:13" ht="30" customHeight="1">
      <c r="A4" s="1" t="s">
        <v>471</v>
      </c>
      <c r="B4" s="1" t="s">
        <v>2</v>
      </c>
      <c r="C4" s="1" t="s">
        <v>3</v>
      </c>
      <c r="D4" s="1" t="s">
        <v>4</v>
      </c>
      <c r="E4" s="1" t="s">
        <v>297</v>
      </c>
      <c r="F4" s="1" t="s">
        <v>7</v>
      </c>
      <c r="G4" s="1" t="s">
        <v>472</v>
      </c>
      <c r="H4" s="1" t="s">
        <v>473</v>
      </c>
      <c r="I4" s="1" t="s">
        <v>8</v>
      </c>
      <c r="J4" s="1" t="s">
        <v>334</v>
      </c>
      <c r="K4" s="1" t="s">
        <v>335</v>
      </c>
      <c r="L4" s="1" t="s">
        <v>336</v>
      </c>
      <c r="M4" s="1" t="s">
        <v>9</v>
      </c>
    </row>
    <row r="5" spans="1:13" ht="70.5" customHeight="1">
      <c r="A5" s="2" t="s">
        <v>474</v>
      </c>
      <c r="B5" s="3" t="s">
        <v>55</v>
      </c>
      <c r="C5" s="4" t="s">
        <v>56</v>
      </c>
      <c r="D5" s="4" t="s">
        <v>43</v>
      </c>
      <c r="E5" s="4" t="s">
        <v>309</v>
      </c>
      <c r="F5" s="5" t="s">
        <v>17</v>
      </c>
      <c r="G5" s="5">
        <v>3</v>
      </c>
      <c r="H5" s="4" t="s">
        <v>58</v>
      </c>
      <c r="I5" s="6" t="s">
        <v>475</v>
      </c>
      <c r="J5" s="4"/>
      <c r="K5" s="4"/>
      <c r="L5" s="4"/>
      <c r="M5" s="4" t="s">
        <v>59</v>
      </c>
    </row>
    <row r="6" spans="1:13" ht="84" customHeight="1">
      <c r="A6" s="2" t="s">
        <v>474</v>
      </c>
      <c r="B6" s="3" t="s">
        <v>61</v>
      </c>
      <c r="C6" s="4" t="s">
        <v>56</v>
      </c>
      <c r="D6" s="4" t="s">
        <v>43</v>
      </c>
      <c r="E6" s="4" t="s">
        <v>310</v>
      </c>
      <c r="F6" s="5" t="s">
        <v>32</v>
      </c>
      <c r="G6" s="5">
        <v>3</v>
      </c>
      <c r="H6" s="4" t="s">
        <v>63</v>
      </c>
      <c r="I6" s="6" t="s">
        <v>475</v>
      </c>
      <c r="J6" s="4"/>
      <c r="K6" s="4"/>
      <c r="L6" s="4"/>
      <c r="M6" s="4" t="s">
        <v>64</v>
      </c>
    </row>
    <row r="7" spans="1:13" ht="57.75" customHeight="1">
      <c r="A7" s="2" t="s">
        <v>474</v>
      </c>
      <c r="B7" s="3" t="s">
        <v>65</v>
      </c>
      <c r="C7" s="4" t="s">
        <v>56</v>
      </c>
      <c r="D7" s="4" t="s">
        <v>43</v>
      </c>
      <c r="E7" s="4" t="s">
        <v>66</v>
      </c>
      <c r="F7" s="5" t="s">
        <v>17</v>
      </c>
      <c r="G7" s="5">
        <v>3</v>
      </c>
      <c r="H7" s="4" t="s">
        <v>67</v>
      </c>
      <c r="I7" s="6" t="s">
        <v>475</v>
      </c>
      <c r="J7" s="4"/>
      <c r="K7" s="4"/>
      <c r="L7" s="4"/>
      <c r="M7" s="4" t="s">
        <v>68</v>
      </c>
    </row>
    <row r="8" spans="1:13" ht="70.5" customHeight="1">
      <c r="A8" s="2" t="s">
        <v>474</v>
      </c>
      <c r="B8" s="3" t="s">
        <v>69</v>
      </c>
      <c r="C8" s="4" t="s">
        <v>56</v>
      </c>
      <c r="D8" s="4" t="s">
        <v>22</v>
      </c>
      <c r="E8" s="4" t="s">
        <v>311</v>
      </c>
      <c r="F8" s="5" t="s">
        <v>17</v>
      </c>
      <c r="G8" s="5">
        <v>3</v>
      </c>
      <c r="H8" s="4" t="s">
        <v>70</v>
      </c>
      <c r="I8" s="6" t="s">
        <v>475</v>
      </c>
      <c r="J8" s="4"/>
      <c r="K8" s="4"/>
      <c r="L8" s="4"/>
      <c r="M8" s="4"/>
    </row>
    <row r="9" spans="1:13" ht="70.5" customHeight="1">
      <c r="A9" s="7" t="s">
        <v>476</v>
      </c>
      <c r="B9" s="3" t="s">
        <v>71</v>
      </c>
      <c r="C9" s="4" t="s">
        <v>72</v>
      </c>
      <c r="D9" s="4" t="s">
        <v>73</v>
      </c>
      <c r="E9" s="4" t="s">
        <v>312</v>
      </c>
      <c r="F9" s="5" t="s">
        <v>17</v>
      </c>
      <c r="G9" s="5">
        <v>3</v>
      </c>
      <c r="H9" s="4" t="s">
        <v>75</v>
      </c>
      <c r="I9" s="6" t="s">
        <v>475</v>
      </c>
      <c r="J9" s="4"/>
      <c r="K9" s="4"/>
      <c r="L9" s="4"/>
      <c r="M9" s="4" t="s">
        <v>76</v>
      </c>
    </row>
    <row r="10" spans="1:13" ht="109.5" customHeight="1">
      <c r="A10" s="7" t="s">
        <v>476</v>
      </c>
      <c r="B10" s="3" t="s">
        <v>244</v>
      </c>
      <c r="C10" s="4" t="s">
        <v>72</v>
      </c>
      <c r="D10" s="4" t="s">
        <v>116</v>
      </c>
      <c r="E10" s="4" t="s">
        <v>313</v>
      </c>
      <c r="F10" s="5" t="s">
        <v>17</v>
      </c>
      <c r="G10" s="5">
        <v>3</v>
      </c>
      <c r="H10" s="4" t="s">
        <v>246</v>
      </c>
      <c r="I10" s="6" t="s">
        <v>475</v>
      </c>
      <c r="J10" s="4"/>
      <c r="K10" s="4"/>
      <c r="L10" s="4"/>
      <c r="M10" s="4" t="s">
        <v>247</v>
      </c>
    </row>
    <row r="11" spans="1:13" ht="109.5" customHeight="1">
      <c r="A11" s="7" t="s">
        <v>476</v>
      </c>
      <c r="B11" s="3" t="s">
        <v>236</v>
      </c>
      <c r="C11" s="4" t="s">
        <v>72</v>
      </c>
      <c r="D11" s="4" t="s">
        <v>78</v>
      </c>
      <c r="E11" s="4" t="s">
        <v>314</v>
      </c>
      <c r="F11" s="5" t="s">
        <v>32</v>
      </c>
      <c r="G11" s="5">
        <v>3</v>
      </c>
      <c r="H11" s="4" t="s">
        <v>238</v>
      </c>
      <c r="I11" s="6" t="s">
        <v>475</v>
      </c>
      <c r="J11" s="4"/>
      <c r="K11" s="4"/>
      <c r="L11" s="4"/>
      <c r="M11" s="4" t="s">
        <v>239</v>
      </c>
    </row>
    <row r="12" spans="1:13" ht="70.5" customHeight="1">
      <c r="A12" s="7" t="s">
        <v>476</v>
      </c>
      <c r="B12" s="3" t="s">
        <v>77</v>
      </c>
      <c r="C12" s="4" t="s">
        <v>72</v>
      </c>
      <c r="D12" s="4" t="s">
        <v>78</v>
      </c>
      <c r="E12" s="4" t="s">
        <v>79</v>
      </c>
      <c r="F12" s="5" t="s">
        <v>17</v>
      </c>
      <c r="G12" s="5">
        <v>3</v>
      </c>
      <c r="H12" s="4" t="s">
        <v>80</v>
      </c>
      <c r="I12" s="6" t="s">
        <v>475</v>
      </c>
      <c r="J12" s="4"/>
      <c r="K12" s="4"/>
      <c r="L12" s="4"/>
      <c r="M12" s="4" t="s">
        <v>81</v>
      </c>
    </row>
    <row r="13" spans="1:13" ht="96.75" customHeight="1">
      <c r="A13" s="8" t="s">
        <v>477</v>
      </c>
      <c r="B13" s="3" t="s">
        <v>82</v>
      </c>
      <c r="C13" s="4" t="s">
        <v>83</v>
      </c>
      <c r="D13" s="4" t="s">
        <v>78</v>
      </c>
      <c r="E13" s="4" t="s">
        <v>315</v>
      </c>
      <c r="F13" s="5" t="s">
        <v>17</v>
      </c>
      <c r="G13" s="5">
        <v>3</v>
      </c>
      <c r="H13" s="4" t="s">
        <v>85</v>
      </c>
      <c r="I13" s="6" t="s">
        <v>475</v>
      </c>
      <c r="J13" s="4"/>
      <c r="K13" s="4"/>
      <c r="L13" s="4"/>
      <c r="M13" s="4" t="s">
        <v>86</v>
      </c>
    </row>
    <row r="14" spans="1:13" ht="70.5" customHeight="1">
      <c r="A14" s="8" t="s">
        <v>477</v>
      </c>
      <c r="B14" s="3" t="s">
        <v>87</v>
      </c>
      <c r="C14" s="4" t="s">
        <v>83</v>
      </c>
      <c r="D14" s="4" t="s">
        <v>78</v>
      </c>
      <c r="E14" s="4" t="s">
        <v>316</v>
      </c>
      <c r="F14" s="5" t="s">
        <v>17</v>
      </c>
      <c r="G14" s="5">
        <v>5</v>
      </c>
      <c r="H14" s="4" t="s">
        <v>89</v>
      </c>
      <c r="I14" s="6" t="s">
        <v>475</v>
      </c>
      <c r="J14" s="4"/>
      <c r="K14" s="4"/>
      <c r="L14" s="4"/>
      <c r="M14" s="4" t="s">
        <v>90</v>
      </c>
    </row>
    <row r="15" spans="1:13" ht="109.5" customHeight="1">
      <c r="A15" s="8" t="s">
        <v>477</v>
      </c>
      <c r="B15" s="3" t="s">
        <v>206</v>
      </c>
      <c r="C15" s="4" t="s">
        <v>83</v>
      </c>
      <c r="D15" s="4" t="s">
        <v>207</v>
      </c>
      <c r="E15" s="4" t="s">
        <v>317</v>
      </c>
      <c r="F15" s="5" t="s">
        <v>17</v>
      </c>
      <c r="G15" s="5">
        <v>5</v>
      </c>
      <c r="H15" s="4" t="s">
        <v>209</v>
      </c>
      <c r="I15" s="6" t="s">
        <v>475</v>
      </c>
      <c r="J15" s="4"/>
      <c r="K15" s="4"/>
      <c r="L15" s="4"/>
      <c r="M15" s="4" t="s">
        <v>210</v>
      </c>
    </row>
    <row r="16" spans="1:13" ht="96.75" customHeight="1">
      <c r="A16" s="9" t="s">
        <v>478</v>
      </c>
      <c r="B16" s="3" t="s">
        <v>96</v>
      </c>
      <c r="C16" s="4" t="s">
        <v>97</v>
      </c>
      <c r="D16" s="4" t="s">
        <v>98</v>
      </c>
      <c r="E16" s="4" t="s">
        <v>318</v>
      </c>
      <c r="F16" s="5" t="s">
        <v>17</v>
      </c>
      <c r="G16" s="5">
        <v>5</v>
      </c>
      <c r="H16" s="4" t="s">
        <v>100</v>
      </c>
      <c r="I16" s="6" t="s">
        <v>475</v>
      </c>
      <c r="J16" s="4"/>
      <c r="K16" s="4"/>
      <c r="L16" s="4"/>
      <c r="M16" s="4" t="s">
        <v>101</v>
      </c>
    </row>
    <row r="17" spans="1:13" ht="123" customHeight="1">
      <c r="A17" s="9" t="s">
        <v>478</v>
      </c>
      <c r="B17" s="3" t="s">
        <v>102</v>
      </c>
      <c r="C17" s="4" t="s">
        <v>97</v>
      </c>
      <c r="D17" s="4" t="s">
        <v>98</v>
      </c>
      <c r="E17" s="4" t="s">
        <v>319</v>
      </c>
      <c r="F17" s="5" t="s">
        <v>17</v>
      </c>
      <c r="G17" s="5">
        <v>3</v>
      </c>
      <c r="H17" s="4" t="s">
        <v>104</v>
      </c>
      <c r="I17" s="6" t="s">
        <v>475</v>
      </c>
      <c r="J17" s="4"/>
      <c r="K17" s="4"/>
      <c r="L17" s="4"/>
      <c r="M17" s="4" t="s">
        <v>105</v>
      </c>
    </row>
    <row r="18" spans="1:13" ht="123" customHeight="1">
      <c r="A18" s="9" t="s">
        <v>478</v>
      </c>
      <c r="B18" s="3" t="s">
        <v>211</v>
      </c>
      <c r="C18" s="4" t="s">
        <v>97</v>
      </c>
      <c r="D18" s="4" t="s">
        <v>212</v>
      </c>
      <c r="E18" s="4" t="s">
        <v>320</v>
      </c>
      <c r="F18" s="5" t="s">
        <v>17</v>
      </c>
      <c r="G18" s="5">
        <v>3</v>
      </c>
      <c r="H18" s="4" t="s">
        <v>214</v>
      </c>
      <c r="I18" s="6" t="s">
        <v>475</v>
      </c>
      <c r="J18" s="4"/>
      <c r="K18" s="4"/>
      <c r="L18" s="4"/>
      <c r="M18" s="4" t="s">
        <v>215</v>
      </c>
    </row>
    <row r="19" spans="1:13" ht="45" customHeight="1">
      <c r="A19" s="10" t="s">
        <v>479</v>
      </c>
      <c r="B19" s="3" t="s">
        <v>110</v>
      </c>
      <c r="C19" s="4" t="s">
        <v>111</v>
      </c>
      <c r="D19" s="4" t="s">
        <v>112</v>
      </c>
      <c r="E19" s="4" t="s">
        <v>113</v>
      </c>
      <c r="F19" s="5" t="s">
        <v>17</v>
      </c>
      <c r="G19" s="5">
        <v>5</v>
      </c>
      <c r="H19" s="4" t="s">
        <v>114</v>
      </c>
      <c r="I19" s="6" t="s">
        <v>475</v>
      </c>
      <c r="J19" s="4"/>
      <c r="K19" s="4"/>
      <c r="L19" s="4"/>
      <c r="M19" s="4"/>
    </row>
    <row r="20" spans="1:13" ht="45" customHeight="1">
      <c r="A20" s="10" t="s">
        <v>479</v>
      </c>
      <c r="B20" s="3" t="s">
        <v>115</v>
      </c>
      <c r="C20" s="4" t="s">
        <v>111</v>
      </c>
      <c r="D20" s="4" t="s">
        <v>116</v>
      </c>
      <c r="E20" s="4" t="s">
        <v>117</v>
      </c>
      <c r="F20" s="5" t="s">
        <v>17</v>
      </c>
      <c r="G20" s="5">
        <v>3</v>
      </c>
      <c r="H20" s="4" t="s">
        <v>118</v>
      </c>
      <c r="I20" s="6" t="s">
        <v>475</v>
      </c>
      <c r="J20" s="4"/>
      <c r="K20" s="4"/>
      <c r="L20" s="4"/>
      <c r="M20" s="4" t="s">
        <v>119</v>
      </c>
    </row>
    <row r="21" spans="1:13" ht="45" customHeight="1">
      <c r="A21" s="10" t="s">
        <v>479</v>
      </c>
      <c r="B21" s="3" t="s">
        <v>120</v>
      </c>
      <c r="C21" s="4" t="s">
        <v>111</v>
      </c>
      <c r="D21" s="4" t="s">
        <v>112</v>
      </c>
      <c r="E21" s="4" t="s">
        <v>121</v>
      </c>
      <c r="F21" s="5" t="s">
        <v>32</v>
      </c>
      <c r="G21" s="5">
        <v>2</v>
      </c>
      <c r="H21" s="4" t="s">
        <v>122</v>
      </c>
      <c r="I21" s="6" t="s">
        <v>475</v>
      </c>
      <c r="J21" s="4"/>
      <c r="K21" s="4"/>
      <c r="L21" s="4"/>
      <c r="M21" s="4"/>
    </row>
    <row r="22" spans="1:13" ht="57.75" customHeight="1">
      <c r="A22" s="10" t="s">
        <v>479</v>
      </c>
      <c r="B22" s="3" t="s">
        <v>123</v>
      </c>
      <c r="C22" s="4" t="s">
        <v>111</v>
      </c>
      <c r="D22" s="4" t="s">
        <v>116</v>
      </c>
      <c r="E22" s="4" t="s">
        <v>124</v>
      </c>
      <c r="F22" s="5" t="s">
        <v>17</v>
      </c>
      <c r="G22" s="5">
        <v>3</v>
      </c>
      <c r="H22" s="4" t="s">
        <v>125</v>
      </c>
      <c r="I22" s="6" t="s">
        <v>475</v>
      </c>
      <c r="J22" s="4"/>
      <c r="K22" s="4"/>
      <c r="L22" s="4"/>
      <c r="M22" s="4" t="s">
        <v>126</v>
      </c>
    </row>
    <row r="25" spans="1:13" ht="15.75">
      <c r="A25" s="54" t="s">
        <v>480</v>
      </c>
      <c r="B25" s="54"/>
      <c r="C25" s="54"/>
      <c r="D25" s="54"/>
      <c r="E25" s="54"/>
      <c r="F25" s="54"/>
      <c r="G25" s="54"/>
      <c r="H25" s="54"/>
      <c r="I25" s="54"/>
      <c r="J25" s="54"/>
      <c r="K25" s="54"/>
      <c r="L25" s="54"/>
      <c r="M25" s="54"/>
    </row>
    <row r="26" spans="1:13" ht="30" customHeight="1">
      <c r="A26" s="1" t="s">
        <v>471</v>
      </c>
      <c r="B26" s="1" t="s">
        <v>481</v>
      </c>
      <c r="C26" s="1" t="s">
        <v>482</v>
      </c>
      <c r="D26" s="45" t="s">
        <v>483</v>
      </c>
      <c r="E26" s="45"/>
      <c r="F26" s="45"/>
      <c r="G26" s="45"/>
      <c r="H26" s="45"/>
      <c r="I26" s="45" t="s">
        <v>484</v>
      </c>
      <c r="J26" s="45"/>
      <c r="K26" s="45"/>
    </row>
    <row r="27" spans="1:13" ht="31.5" customHeight="1">
      <c r="A27" s="2" t="s">
        <v>474</v>
      </c>
      <c r="B27" s="5">
        <f>COUNTIF($A$5:$A$22,A27)</f>
        <v>4</v>
      </c>
      <c r="C27" s="5">
        <f>SUMIF($A$5:$A$22,A27,$G$5:$G$22)</f>
        <v>12</v>
      </c>
      <c r="D27" s="42" t="s">
        <v>485</v>
      </c>
      <c r="E27" s="42"/>
      <c r="F27" s="42"/>
      <c r="G27" s="42"/>
      <c r="H27" s="42"/>
      <c r="I27" s="42" t="s">
        <v>486</v>
      </c>
      <c r="J27" s="42"/>
      <c r="K27" s="42"/>
    </row>
    <row r="28" spans="1:13" ht="31.5" customHeight="1">
      <c r="A28" s="7" t="s">
        <v>476</v>
      </c>
      <c r="B28" s="5">
        <f>COUNTIF($A$5:$A$22,A28)</f>
        <v>4</v>
      </c>
      <c r="C28" s="5">
        <f>SUMIF($A$5:$A$22,A28,$G$5:$G$22)</f>
        <v>12</v>
      </c>
      <c r="D28" s="42" t="s">
        <v>487</v>
      </c>
      <c r="E28" s="42"/>
      <c r="F28" s="42"/>
      <c r="G28" s="42"/>
      <c r="H28" s="42"/>
      <c r="I28" s="42" t="s">
        <v>488</v>
      </c>
      <c r="J28" s="42"/>
      <c r="K28" s="42"/>
    </row>
    <row r="29" spans="1:13" ht="31.5" customHeight="1">
      <c r="A29" s="8" t="s">
        <v>477</v>
      </c>
      <c r="B29" s="5">
        <f>COUNTIF($A$5:$A$22,A29)</f>
        <v>3</v>
      </c>
      <c r="C29" s="5">
        <f>SUMIF($A$5:$A$22,A29,$G$5:$G$22)</f>
        <v>13</v>
      </c>
      <c r="D29" s="42" t="s">
        <v>489</v>
      </c>
      <c r="E29" s="42"/>
      <c r="F29" s="42"/>
      <c r="G29" s="42"/>
      <c r="H29" s="42"/>
      <c r="I29" s="42" t="s">
        <v>490</v>
      </c>
      <c r="J29" s="42"/>
      <c r="K29" s="42"/>
    </row>
    <row r="30" spans="1:13" ht="31.5" customHeight="1">
      <c r="A30" s="9" t="s">
        <v>478</v>
      </c>
      <c r="B30" s="5">
        <f>COUNTIF($A$5:$A$22,A30)</f>
        <v>3</v>
      </c>
      <c r="C30" s="5">
        <f>SUMIF($A$5:$A$22,A30,$G$5:$G$22)</f>
        <v>11</v>
      </c>
      <c r="D30" s="42" t="s">
        <v>491</v>
      </c>
      <c r="E30" s="42"/>
      <c r="F30" s="42"/>
      <c r="G30" s="42"/>
      <c r="H30" s="42"/>
      <c r="I30" s="42" t="s">
        <v>492</v>
      </c>
      <c r="J30" s="42"/>
      <c r="K30" s="42"/>
    </row>
    <row r="31" spans="1:13" ht="31.5" customHeight="1">
      <c r="A31" s="10" t="s">
        <v>479</v>
      </c>
      <c r="B31" s="5">
        <f>COUNTIF($A$5:$A$22,A31)</f>
        <v>4</v>
      </c>
      <c r="C31" s="5">
        <f>SUMIF($A$5:$A$22,A31,$G$5:$G$22)</f>
        <v>13</v>
      </c>
      <c r="D31" s="42" t="s">
        <v>493</v>
      </c>
      <c r="E31" s="42"/>
      <c r="F31" s="42"/>
      <c r="G31" s="42"/>
      <c r="H31" s="42"/>
      <c r="I31" s="42" t="s">
        <v>494</v>
      </c>
      <c r="J31" s="42"/>
      <c r="K31" s="42"/>
    </row>
    <row r="32" spans="1:13">
      <c r="A32" s="11" t="s">
        <v>495</v>
      </c>
      <c r="B32" s="12">
        <f>SUM(B27:B31)</f>
        <v>18</v>
      </c>
      <c r="C32" s="12">
        <f>SUM(C27:C31)</f>
        <v>61</v>
      </c>
      <c r="D32" s="43"/>
      <c r="E32" s="43"/>
      <c r="F32" s="43"/>
      <c r="G32" s="43"/>
      <c r="H32" s="43"/>
      <c r="I32" s="43"/>
      <c r="J32" s="43"/>
      <c r="K32" s="43"/>
    </row>
    <row r="33" spans="1:3" ht="31.5" customHeight="1">
      <c r="A33" s="3" t="s">
        <v>496</v>
      </c>
      <c r="B33" s="13">
        <f>COUNTA('Planificación de Sprints'!A33:A50)</f>
        <v>18</v>
      </c>
      <c r="C33" s="13">
        <f>'Planificación de Sprints'!E51</f>
        <v>61</v>
      </c>
    </row>
    <row r="34" spans="1:3" ht="18.75" customHeight="1">
      <c r="A34" s="3" t="s">
        <v>497</v>
      </c>
      <c r="B34" s="5">
        <f>B32-B33</f>
        <v>0</v>
      </c>
      <c r="C34" s="5">
        <f>C32-C33</f>
        <v>0</v>
      </c>
    </row>
  </sheetData>
  <autoFilter ref="A4:M22" xr:uid="{00000000-0009-0000-0000-000005000000}"/>
  <mergeCells count="17">
    <mergeCell ref="A1:M1"/>
    <mergeCell ref="A2:M2"/>
    <mergeCell ref="A25:M25"/>
    <mergeCell ref="D26:H26"/>
    <mergeCell ref="I26:K26"/>
    <mergeCell ref="D27:H27"/>
    <mergeCell ref="I27:K27"/>
    <mergeCell ref="D28:H28"/>
    <mergeCell ref="I28:K28"/>
    <mergeCell ref="D29:H29"/>
    <mergeCell ref="I29:K29"/>
    <mergeCell ref="D30:H30"/>
    <mergeCell ref="I30:K30"/>
    <mergeCell ref="D31:H31"/>
    <mergeCell ref="I31:K31"/>
    <mergeCell ref="D32:H32"/>
    <mergeCell ref="I32:K3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0</cp:revision>
  <dcterms:created xsi:type="dcterms:W3CDTF">2026-08-31T04:05:00Z</dcterms:created>
  <dcterms:modified xsi:type="dcterms:W3CDTF">2026-10-08T20:21:38Z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921ED513519B40AFA7CEE29FABBD6346_13</vt:lpwstr>
  </property>
  <property fmtid="{D5CDD505-2E9C-101B-9397-08002B2CF9AE}" pid="4" name="KSOProductBuildVer">
    <vt:lpwstr>3082-12.1.0.28485</vt:lpwstr>
  </property>
</Properties>
</file>